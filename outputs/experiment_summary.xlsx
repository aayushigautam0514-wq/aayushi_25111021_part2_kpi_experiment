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ayushi\Desktop\part2_kpi_experiment\outputs\"/>
    </mc:Choice>
  </mc:AlternateContent>
  <xr:revisionPtr revIDLastSave="0" documentId="13_ncr:1_{706EFB39-8225-4472-A390-DAE240B2C1F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set" sheetId="2" r:id="rId1"/>
    <sheet name="Overall_Summary" sheetId="1" r:id="rId2"/>
  </sheets>
  <definedNames>
    <definedName name="_xlnm._FilterDatabase" localSheetId="0" hidden="1">Dataset!$A$1:$Q$1409</definedName>
  </definedName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2" i="2"/>
</calcChain>
</file>

<file path=xl/sharedStrings.xml><?xml version="1.0" encoding="utf-8"?>
<sst xmlns="http://schemas.openxmlformats.org/spreadsheetml/2006/main" count="8494" uniqueCount="1459">
  <si>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</si>
  <si>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</si>
  <si>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</si>
  <si>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</si>
  <si>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</si>
  <si>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</si>
  <si>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</si>
  <si>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</si>
  <si>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</si>
  <si>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</si>
  <si>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</si>
  <si>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</si>
  <si>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</si>
  <si>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</si>
  <si>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</si>
  <si>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</si>
  <si>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</si>
  <si>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</si>
  <si>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</si>
  <si>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</si>
  <si>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</si>
  <si>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</si>
  <si>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</si>
  <si>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</si>
  <si>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</si>
  <si>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</si>
  <si>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</si>
  <si>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</si>
  <si>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</si>
  <si>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</si>
  <si>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</si>
  <si>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</si>
  <si>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</si>
  <si>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</si>
  <si>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</si>
  <si>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</si>
  <si>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</si>
  <si>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</si>
  <si>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</si>
  <si>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</si>
  <si>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</si>
  <si>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</si>
  <si>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</si>
  <si>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</si>
  <si>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</si>
  <si>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</si>
  <si>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</si>
  <si>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</si>
  <si>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</si>
  <si>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</si>
  <si>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</si>
  <si>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</si>
  <si>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</si>
  <si>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</si>
  <si>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</si>
  <si>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</si>
  <si>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</si>
  <si>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</si>
  <si>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</si>
  <si>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</si>
  <si>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</si>
  <si>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</si>
  <si>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</si>
  <si>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</si>
  <si>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</si>
  <si>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</si>
  <si>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</si>
  <si>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</si>
  <si>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</si>
  <si>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</si>
  <si>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</si>
  <si>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</si>
  <si>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</si>
  <si>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</si>
  <si>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</si>
  <si>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</si>
  <si>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</si>
  <si>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</si>
  <si>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</si>
  <si>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</si>
  <si>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</si>
  <si>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</si>
  <si>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</si>
  <si>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</si>
  <si>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</si>
  <si>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</si>
  <si>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</si>
  <si>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</si>
  <si>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</si>
  <si>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</si>
  <si>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</si>
  <si>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</si>
  <si>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</si>
  <si>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</si>
  <si>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</si>
  <si>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</si>
  <si>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</si>
  <si>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</si>
  <si>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</si>
  <si>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</si>
  <si>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</si>
  <si>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</si>
  <si>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</si>
  <si>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</si>
  <si>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</si>
  <si>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</si>
  <si>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</si>
  <si>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</si>
  <si>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</si>
  <si>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</si>
  <si>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</si>
  <si>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</si>
  <si>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</si>
  <si>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</si>
  <si>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</si>
  <si>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</si>
  <si>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</si>
  <si>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</si>
  <si>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</si>
  <si>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</si>
  <si>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</si>
  <si>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</si>
  <si>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</si>
  <si>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</si>
  <si>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</si>
  <si>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</si>
  <si>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</si>
  <si>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</si>
  <si>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</si>
  <si>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</si>
  <si>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</si>
  <si>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</si>
  <si>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</si>
  <si>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</si>
  <si>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</si>
  <si>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</si>
  <si>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</si>
  <si>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</si>
  <si>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</si>
  <si>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</si>
  <si>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</si>
  <si>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</si>
  <si>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</si>
  <si>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</si>
  <si>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</si>
  <si>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</si>
  <si>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</si>
  <si>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</si>
  <si>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</si>
  <si>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</si>
  <si>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</si>
  <si>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</si>
  <si>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</si>
  <si>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</si>
  <si>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</si>
  <si>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</si>
  <si>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</si>
  <si>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</si>
  <si>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</si>
  <si>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</si>
  <si>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</si>
  <si>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</si>
  <si>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</si>
  <si>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</si>
  <si>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</si>
  <si>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</si>
  <si>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</si>
  <si>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</si>
  <si>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</si>
  <si>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</si>
  <si>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</si>
  <si>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</si>
  <si>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</si>
  <si>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</si>
  <si>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</si>
  <si>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</si>
  <si>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</si>
  <si>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</si>
  <si>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</si>
  <si>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</si>
  <si>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</si>
  <si>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</si>
  <si>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</si>
  <si>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</si>
  <si>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</si>
  <si>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</si>
  <si>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</si>
  <si>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</si>
  <si>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</si>
  <si>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</si>
  <si>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</si>
  <si>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</si>
  <si>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</si>
  <si>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</si>
  <si>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</si>
  <si>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</si>
  <si>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</si>
  <si>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</si>
  <si>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</si>
  <si>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</si>
  <si>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</si>
  <si>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</si>
  <si>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</si>
  <si>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</si>
  <si>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</si>
  <si>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</si>
  <si>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</si>
  <si>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</si>
  <si>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</si>
  <si>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</si>
  <si>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</si>
  <si>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</si>
  <si>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</si>
  <si>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</si>
  <si>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</si>
  <si>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</si>
  <si>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</si>
  <si>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</si>
  <si>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</si>
  <si>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</si>
  <si>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</si>
  <si>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</si>
  <si>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</si>
  <si>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</si>
  <si>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</si>
  <si>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</si>
  <si>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</si>
  <si>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</si>
  <si>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</si>
  <si>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</si>
  <si>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</si>
  <si>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</si>
  <si>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</si>
  <si>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</si>
  <si>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</si>
  <si>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</si>
  <si>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</si>
  <si>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</si>
  <si>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</si>
  <si>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</si>
  <si>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</si>
  <si>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</si>
  <si>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</si>
  <si>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</si>
  <si>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</si>
  <si>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</si>
  <si>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</si>
  <si>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</si>
  <si>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</si>
  <si>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</si>
  <si>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</si>
  <si>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</si>
  <si>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</si>
  <si>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</si>
  <si>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</si>
  <si>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</si>
  <si>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</si>
  <si>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</si>
  <si>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</si>
  <si>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</si>
  <si>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</si>
  <si>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</si>
  <si>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</si>
  <si>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</si>
  <si>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</si>
  <si>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</si>
  <si>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</si>
  <si>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</si>
  <si>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</si>
  <si>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</si>
  <si>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</si>
  <si>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</si>
  <si>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</si>
  <si>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</si>
  <si>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</si>
  <si>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</si>
  <si>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</si>
  <si>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</si>
  <si>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</si>
  <si>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</si>
  <si>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</si>
  <si>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</si>
  <si>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</si>
  <si>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</si>
  <si>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</si>
  <si>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</si>
  <si>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</si>
  <si>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</si>
  <si>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</si>
  <si>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</si>
  <si>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</si>
  <si>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</si>
  <si>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</si>
  <si>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</si>
  <si>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</si>
  <si>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</si>
  <si>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</si>
  <si>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</si>
  <si>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</si>
  <si>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</si>
  <si>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</si>
  <si>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</si>
  <si>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</si>
  <si>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</si>
  <si>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</si>
  <si>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</si>
  <si>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</si>
  <si>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</si>
  <si>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</si>
  <si>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</si>
  <si>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</si>
  <si>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</si>
  <si>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</si>
  <si>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</si>
  <si>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</si>
  <si>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</si>
  <si>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</si>
  <si>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</si>
  <si>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</si>
  <si>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</si>
  <si>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</si>
  <si>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</si>
  <si>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</si>
  <si>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</si>
  <si>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</si>
  <si>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</si>
  <si>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</si>
  <si>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</si>
  <si>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</si>
  <si>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</si>
  <si>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</si>
  <si>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</si>
  <si>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</si>
  <si>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</si>
  <si>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</si>
  <si>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</si>
  <si>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</si>
  <si>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</si>
  <si>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</si>
  <si>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</si>
  <si>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</si>
  <si>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</si>
  <si>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</si>
  <si>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</si>
  <si>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</si>
  <si>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</si>
  <si>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</si>
  <si>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</si>
  <si>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</si>
  <si>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</si>
  <si>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</si>
  <si>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</si>
  <si>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</si>
  <si>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</si>
  <si>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</si>
  <si>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</si>
  <si>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</si>
  <si>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</si>
  <si>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</si>
  <si>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</si>
  <si>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</si>
  <si>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</si>
  <si>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</si>
  <si>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</si>
  <si>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</si>
  <si>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</si>
  <si>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</si>
  <si>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</si>
  <si>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</si>
  <si>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</si>
  <si>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</si>
  <si>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</si>
  <si>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</si>
  <si>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</si>
  <si>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</si>
  <si>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</si>
  <si>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</si>
  <si>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</si>
  <si>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</si>
  <si>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</si>
  <si>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</si>
  <si>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</si>
  <si>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</si>
  <si>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</si>
  <si>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</si>
  <si>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</si>
  <si>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</si>
  <si>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</si>
  <si>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</si>
  <si>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</si>
  <si>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</si>
  <si>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</si>
  <si>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</si>
  <si>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</si>
  <si>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</si>
  <si>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</si>
  <si>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</si>
  <si>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</si>
  <si>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</si>
  <si>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</si>
  <si>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</si>
  <si>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</si>
  <si>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</si>
  <si>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</si>
  <si>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</si>
  <si>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</si>
  <si>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</si>
  <si>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</si>
  <si>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</si>
  <si>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</si>
  <si>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</si>
  <si>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</si>
  <si>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</si>
  <si>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</si>
  <si>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</si>
  <si>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</si>
  <si>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</si>
  <si>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</si>
  <si>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</si>
  <si>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</si>
  <si>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</si>
  <si>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</si>
  <si>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</si>
  <si>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</si>
  <si>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</si>
  <si>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</si>
  <si>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</si>
  <si>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</si>
  <si>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</si>
  <si>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</si>
  <si>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</si>
  <si>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</si>
  <si>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</si>
  <si>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</si>
  <si>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</si>
  <si>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</si>
  <si>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</si>
  <si>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</si>
  <si>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</si>
  <si>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</si>
  <si>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</si>
  <si>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</si>
  <si>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</si>
  <si>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</si>
  <si>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</si>
  <si>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</si>
  <si>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</si>
  <si>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</si>
  <si>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</si>
  <si>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</si>
  <si>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</si>
  <si>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</si>
  <si>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</si>
  <si>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</si>
  <si>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</si>
  <si>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</si>
  <si>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</si>
  <si>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</si>
  <si>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</si>
  <si>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</si>
  <si>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</si>
  <si>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</si>
  <si>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</si>
  <si>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</si>
  <si>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</si>
  <si>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</si>
  <si>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</si>
  <si>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</si>
  <si>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</si>
  <si>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</si>
  <si>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</si>
  <si>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</si>
  <si>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</si>
  <si>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</si>
  <si>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</si>
  <si>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</si>
  <si>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</si>
  <si>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</si>
  <si>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</si>
  <si>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</si>
  <si>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</si>
  <si>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</si>
  <si>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</si>
  <si>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</si>
  <si>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</si>
  <si>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</si>
  <si>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</si>
  <si>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</si>
  <si>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</si>
  <si>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</si>
  <si>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</si>
  <si>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</si>
  <si>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</si>
  <si>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</si>
  <si>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</si>
  <si>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</si>
  <si>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</si>
  <si>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</si>
  <si>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</si>
  <si>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</si>
  <si>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</si>
  <si>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</si>
  <si>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</si>
  <si>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</si>
  <si>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</si>
  <si>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</si>
  <si>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</si>
  <si>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</si>
  <si>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</si>
  <si>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</si>
  <si>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</si>
  <si>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</si>
  <si>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</si>
  <si>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</si>
  <si>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</si>
  <si>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</si>
  <si>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</si>
  <si>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</si>
  <si>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</si>
  <si>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</si>
  <si>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</si>
  <si>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</si>
  <si>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</si>
  <si>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</si>
  <si>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</si>
  <si>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</si>
  <si>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</si>
  <si>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</si>
  <si>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</si>
  <si>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</si>
  <si>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</si>
  <si>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</si>
  <si>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</si>
  <si>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</si>
  <si>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</si>
  <si>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</si>
  <si>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</si>
  <si>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</si>
  <si>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</si>
  <si>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</si>
  <si>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</si>
  <si>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</si>
  <si>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</si>
  <si>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</si>
  <si>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</si>
  <si>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</si>
  <si>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</si>
  <si>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</si>
  <si>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</si>
  <si>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</si>
  <si>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</si>
  <si>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</si>
  <si>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</si>
  <si>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</si>
  <si>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</si>
  <si>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</si>
  <si>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</si>
  <si>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</si>
  <si>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</si>
  <si>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</si>
  <si>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</si>
  <si>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</si>
  <si>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</si>
  <si>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</si>
  <si>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</si>
  <si>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</si>
  <si>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</si>
  <si>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</si>
  <si>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</si>
  <si>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</si>
  <si>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</si>
  <si>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</si>
  <si>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</si>
  <si>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</si>
  <si>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</si>
  <si>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</si>
  <si>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</si>
  <si>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</si>
  <si>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</si>
  <si>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</si>
  <si>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</si>
  <si>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</si>
  <si>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</si>
  <si>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</si>
  <si>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USR-100433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</si>
  <si>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</si>
  <si>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</si>
  <si>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</si>
  <si>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</si>
  <si>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</si>
  <si>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</si>
  <si>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</si>
  <si>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</si>
  <si>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</si>
  <si>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</si>
  <si>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</si>
  <si>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</si>
  <si>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</si>
  <si>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</si>
  <si>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</si>
  <si>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</si>
  <si>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</si>
  <si>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</si>
  <si>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</si>
  <si>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</si>
  <si>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</si>
  <si>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</si>
  <si>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</si>
  <si>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</si>
  <si>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</si>
  <si>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</si>
  <si>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</si>
  <si>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</si>
  <si>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</si>
  <si>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</si>
  <si>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</si>
  <si>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</si>
  <si>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</si>
  <si>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</si>
  <si>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</si>
  <si>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</si>
  <si>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</si>
  <si>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</si>
  <si>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</si>
  <si>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</si>
  <si>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</si>
  <si>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</si>
  <si>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</si>
  <si>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</si>
  <si>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</si>
  <si>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</si>
  <si>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</si>
  <si>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</si>
  <si>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</si>
  <si>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</si>
  <si>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</si>
  <si>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</si>
  <si>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</si>
  <si>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</si>
  <si>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</si>
  <si>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</si>
  <si>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</si>
  <si>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</si>
  <si>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</si>
  <si>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</si>
  <si>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</si>
  <si>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</si>
  <si>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</si>
  <si>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</si>
  <si>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</si>
  <si>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</si>
  <si>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</si>
  <si>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</si>
  <si>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</si>
  <si>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</si>
  <si>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</si>
  <si>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</si>
  <si>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</si>
  <si>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</si>
  <si>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</si>
  <si>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</si>
  <si>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</si>
  <si>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</si>
  <si>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</si>
  <si>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</si>
  <si>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</si>
  <si>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</si>
  <si>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</si>
  <si>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</si>
  <si>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</si>
  <si>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</si>
  <si>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</si>
  <si>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</si>
  <si>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</si>
  <si>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</si>
  <si>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</si>
  <si>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</si>
  <si>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</si>
  <si>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</si>
  <si>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</si>
  <si>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</si>
  <si>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</si>
  <si>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</si>
  <si>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</si>
  <si>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</si>
  <si>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</si>
  <si>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</si>
  <si>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</si>
  <si>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</si>
  <si>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</si>
  <si>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</si>
  <si>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</si>
  <si>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</si>
  <si>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</si>
  <si>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</si>
  <si>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</si>
  <si>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</si>
  <si>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</si>
  <si>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</si>
  <si>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</si>
  <si>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</si>
  <si>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</si>
  <si>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</si>
  <si>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</si>
  <si>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</si>
  <si>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</si>
  <si>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</si>
  <si>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</si>
  <si>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</si>
  <si>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</si>
  <si>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</si>
  <si>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</si>
  <si>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</si>
  <si>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</si>
  <si>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</si>
  <si>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</si>
  <si>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</si>
  <si>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</si>
  <si>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</si>
  <si>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</si>
  <si>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</si>
  <si>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</si>
  <si>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</si>
  <si>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</si>
  <si>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</si>
  <si>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</si>
  <si>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</si>
  <si>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</si>
  <si>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</si>
  <si>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</si>
  <si>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</si>
  <si>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</si>
  <si>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</si>
  <si>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</si>
  <si>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</si>
  <si>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</si>
  <si>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</si>
  <si>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</si>
  <si>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</si>
  <si>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</si>
  <si>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</si>
  <si>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</si>
  <si>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</si>
  <si>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</si>
  <si>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</si>
  <si>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</si>
  <si>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</si>
  <si>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</si>
  <si>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</si>
  <si>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</si>
  <si>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</si>
  <si>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</si>
  <si>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</si>
  <si>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</si>
  <si>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</si>
  <si>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</si>
  <si>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</si>
  <si>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</si>
  <si>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</si>
  <si>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</si>
  <si>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</si>
  <si>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</si>
  <si>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</si>
  <si>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</si>
  <si>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</si>
  <si>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</si>
  <si>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</si>
  <si>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</si>
  <si>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</si>
  <si>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</si>
  <si>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</si>
  <si>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</si>
  <si>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</si>
  <si>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</si>
  <si>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</si>
  <si>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</si>
  <si>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</si>
  <si>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</si>
  <si>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</si>
  <si>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</si>
  <si>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</si>
  <si>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</si>
  <si>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</si>
  <si>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</si>
  <si>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</si>
  <si>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</si>
  <si>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</si>
  <si>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</si>
  <si>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</si>
  <si>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</si>
  <si>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</si>
  <si>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</si>
  <si>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</si>
  <si>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</si>
  <si>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</si>
  <si>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</si>
  <si>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</si>
  <si>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</si>
  <si>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</si>
  <si>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</si>
  <si>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</si>
  <si>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</si>
  <si>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</si>
  <si>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</si>
  <si>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</si>
  <si>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</si>
  <si>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</si>
  <si>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</si>
  <si>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</si>
  <si>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</si>
  <si>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</si>
  <si>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</si>
  <si>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</si>
  <si>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</si>
  <si>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</si>
  <si>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</si>
  <si>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</si>
  <si>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</si>
  <si>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</si>
  <si>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</si>
  <si>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</si>
  <si>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</si>
  <si>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</si>
  <si>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</si>
  <si>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</si>
  <si>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</si>
  <si>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</si>
  <si>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</si>
  <si>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</si>
  <si>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</si>
  <si>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</si>
  <si>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</si>
  <si>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</si>
  <si>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</si>
  <si>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</si>
  <si>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</si>
  <si>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</si>
  <si>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</si>
  <si>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</si>
  <si>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</si>
  <si>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</si>
  <si>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</si>
  <si>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</si>
  <si>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</si>
  <si>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</si>
  <si>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</si>
  <si>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</si>
  <si>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</si>
  <si>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</si>
  <si>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</si>
  <si>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</si>
  <si>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</si>
  <si>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</si>
  <si>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</si>
  <si>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</si>
  <si>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</si>
  <si>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</si>
  <si>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</si>
  <si>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</si>
  <si>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</si>
  <si>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</si>
  <si>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</si>
  <si>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</si>
  <si>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</si>
  <si>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</si>
  <si>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</si>
  <si>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</si>
  <si>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</si>
  <si>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</si>
  <si>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</si>
  <si>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</si>
  <si>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</si>
  <si>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</si>
  <si>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</si>
  <si>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</si>
  <si>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</si>
  <si>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</si>
  <si>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</si>
  <si>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</si>
  <si>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</si>
  <si>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</si>
  <si>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</si>
  <si>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</si>
  <si>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</si>
  <si>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</si>
  <si>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</si>
  <si>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</si>
  <si>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</si>
  <si>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</si>
  <si>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</si>
  <si>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</si>
  <si>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</si>
  <si>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</si>
  <si>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</si>
  <si>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</si>
  <si>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</si>
  <si>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</si>
  <si>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</si>
  <si>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</si>
  <si>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</si>
  <si>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</si>
  <si>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</si>
  <si>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</si>
  <si>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</si>
  <si>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</si>
  <si>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</si>
  <si>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</si>
  <si>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</si>
  <si>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</si>
  <si>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</si>
  <si>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</si>
  <si>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</si>
  <si>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</si>
  <si>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</si>
  <si>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</si>
  <si>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</si>
  <si>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</si>
  <si>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</si>
  <si>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</si>
  <si>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</si>
  <si>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</si>
  <si>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</si>
  <si>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</si>
  <si>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</si>
  <si>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</si>
  <si>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</si>
  <si>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</si>
  <si>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</si>
  <si>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</si>
  <si>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</si>
  <si>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</si>
  <si>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</si>
  <si>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</si>
  <si>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</si>
  <si>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</si>
  <si>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</si>
  <si>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</si>
  <si>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</si>
  <si>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</si>
  <si>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</si>
  <si>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</si>
  <si>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</si>
  <si>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</si>
  <si>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</si>
  <si>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</si>
  <si>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</si>
  <si>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</si>
  <si>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</si>
  <si>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</si>
  <si>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</si>
  <si>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</si>
  <si>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</si>
  <si>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</si>
  <si>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</si>
  <si>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</si>
  <si>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</si>
  <si>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</si>
  <si>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</si>
  <si>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</si>
  <si>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</si>
  <si>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</si>
  <si>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</si>
  <si>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</si>
  <si>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</si>
  <si>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</si>
  <si>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</si>
  <si>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</si>
  <si>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</si>
  <si>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</si>
  <si>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</si>
  <si>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</si>
  <si>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</si>
  <si>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</si>
  <si>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</si>
  <si>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</si>
  <si>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</si>
  <si>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</si>
  <si>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</si>
  <si>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</si>
  <si>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</si>
  <si>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</si>
  <si>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</si>
  <si>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</si>
  <si>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</si>
  <si>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</si>
  <si>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</si>
  <si>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</si>
  <si>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</si>
  <si>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</si>
  <si>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</si>
  <si>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</si>
  <si>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</si>
  <si>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</si>
  <si>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</si>
  <si>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</si>
  <si>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</si>
  <si>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</si>
  <si>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</si>
  <si>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</si>
  <si>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</si>
  <si>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</si>
  <si>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</si>
  <si>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</si>
  <si>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</si>
  <si>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</si>
  <si>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</si>
  <si>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</si>
  <si>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</si>
  <si>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</si>
  <si>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</si>
  <si>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</si>
  <si>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</si>
  <si>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</si>
  <si>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</si>
  <si>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</si>
  <si>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</si>
  <si>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</si>
  <si>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</si>
  <si>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</si>
  <si>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</si>
  <si>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</si>
  <si>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</si>
  <si>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</si>
  <si>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</si>
  <si>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</si>
  <si>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</si>
  <si>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</si>
  <si>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</si>
  <si>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</si>
  <si>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</si>
  <si>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</si>
  <si>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</si>
  <si>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</si>
  <si>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</si>
  <si>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</si>
  <si>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</si>
  <si>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</si>
  <si>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</si>
  <si>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</si>
  <si>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</si>
  <si>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</si>
  <si>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</si>
  <si>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</si>
  <si>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</si>
  <si>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</si>
  <si>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</si>
  <si>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</si>
  <si>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</si>
  <si>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</si>
  <si>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</si>
  <si>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</si>
  <si>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</si>
  <si>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</si>
  <si>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</si>
  <si>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</si>
  <si>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</si>
  <si>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</si>
  <si>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</si>
  <si>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</si>
  <si>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</si>
  <si>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</si>
  <si>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</si>
  <si>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</si>
  <si>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</si>
  <si>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</si>
  <si>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</si>
  <si>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</si>
  <si>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</si>
  <si>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</si>
  <si>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</si>
  <si>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</si>
  <si>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</si>
  <si>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</si>
  <si>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</si>
  <si>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</si>
  <si>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</si>
  <si>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</si>
  <si>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</si>
  <si>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</si>
  <si>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</si>
  <si>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</si>
  <si>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</si>
  <si>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</si>
  <si>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</si>
  <si>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</si>
  <si>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</si>
  <si>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</si>
  <si>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</si>
  <si>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</si>
  <si>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</si>
  <si>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</si>
  <si>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</si>
  <si>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</si>
  <si>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</si>
  <si>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</si>
  <si>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</si>
  <si>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</si>
  <si>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</si>
  <si>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</si>
  <si>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</si>
  <si>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</si>
  <si>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USR-100541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</si>
  <si>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</si>
  <si>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</si>
  <si>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</si>
  <si>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</si>
  <si>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</si>
  <si>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</si>
  <si>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</si>
  <si>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</si>
  <si>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</si>
  <si>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</si>
  <si>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</si>
  <si>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</si>
  <si>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</si>
  <si>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</si>
  <si>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</si>
  <si>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</si>
  <si>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</si>
  <si>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</si>
  <si>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</si>
  <si>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</si>
  <si>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</si>
  <si>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</si>
  <si>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</si>
  <si>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</si>
  <si>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</si>
  <si>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</si>
  <si>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</si>
  <si>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</si>
  <si>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</si>
  <si>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</si>
  <si>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</si>
  <si>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</si>
  <si>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</si>
  <si>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</si>
  <si>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</si>
  <si>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</si>
  <si>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</si>
  <si>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</si>
  <si>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</si>
  <si>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</si>
  <si>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</si>
  <si>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</si>
  <si>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</si>
  <si>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</si>
  <si>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</si>
  <si>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</si>
  <si>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</si>
  <si>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</si>
  <si>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</si>
  <si>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</si>
  <si>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</si>
  <si>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</si>
  <si>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</si>
  <si>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</si>
  <si>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</si>
  <si>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</si>
  <si>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</si>
  <si>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</si>
  <si>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</si>
  <si>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</si>
  <si>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</si>
  <si>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</si>
  <si>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</si>
  <si>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</si>
  <si>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</si>
  <si>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</si>
  <si>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</si>
  <si>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</si>
  <si>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</si>
  <si>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</si>
  <si>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</si>
  <si>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</si>
  <si>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</si>
  <si>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</si>
  <si>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</si>
  <si>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</si>
  <si>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</si>
  <si>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</si>
  <si>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</si>
  <si>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</si>
  <si>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</si>
  <si>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</si>
  <si>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</si>
  <si>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</si>
  <si>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</si>
  <si>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</si>
  <si>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</si>
  <si>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</si>
  <si>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</si>
  <si>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</si>
  <si>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</si>
  <si>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</si>
  <si>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</si>
  <si>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</si>
  <si>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</si>
  <si>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</si>
  <si>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</si>
  <si>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</si>
  <si>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</si>
  <si>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</si>
  <si>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</si>
  <si>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</si>
  <si>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</si>
  <si>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</si>
  <si>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</si>
  <si>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</si>
  <si>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</si>
  <si>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</si>
  <si>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</si>
  <si>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</si>
  <si>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</si>
  <si>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</si>
  <si>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</si>
  <si>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</si>
  <si>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</si>
  <si>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</si>
  <si>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</si>
  <si>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</si>
  <si>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</si>
  <si>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</si>
  <si>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</si>
  <si>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</si>
  <si>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</si>
  <si>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</si>
  <si>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</si>
  <si>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</si>
  <si>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</si>
  <si>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</si>
  <si>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</si>
  <si>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</si>
  <si>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</si>
  <si>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</si>
  <si>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</si>
  <si>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</si>
  <si>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</si>
  <si>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</si>
  <si>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</si>
  <si>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</si>
  <si>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</si>
  <si>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</si>
  <si>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</si>
  <si>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</si>
  <si>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</si>
  <si>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</si>
  <si>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</si>
  <si>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</si>
  <si>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</si>
  <si>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</si>
  <si>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</si>
  <si>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</si>
  <si>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</si>
  <si>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</si>
  <si>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</si>
  <si>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</si>
  <si>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</si>
  <si>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</si>
  <si>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</si>
  <si>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</si>
  <si>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</si>
  <si>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</si>
  <si>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</si>
  <si>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</si>
  <si>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</si>
  <si>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</si>
  <si>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</si>
  <si>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</si>
  <si>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</si>
  <si>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</si>
  <si>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</si>
  <si>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</si>
  <si>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</si>
  <si>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USR-100917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</si>
  <si>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</si>
  <si>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</si>
  <si>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</si>
  <si>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</si>
  <si>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</si>
  <si>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</si>
  <si>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</si>
  <si>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</si>
  <si>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</si>
  <si>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</si>
  <si>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</si>
  <si>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</si>
  <si>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</si>
  <si>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</si>
  <si>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</si>
  <si>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</si>
  <si>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</si>
  <si>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</si>
  <si>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</si>
  <si>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</si>
  <si>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</si>
  <si>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</si>
  <si>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</si>
  <si>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</si>
  <si>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</si>
  <si>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</si>
  <si>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</si>
  <si>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</si>
  <si>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</si>
  <si>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</si>
  <si>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</si>
  <si>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</si>
  <si>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</si>
  <si>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</si>
  <si>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</si>
  <si>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</si>
  <si>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</si>
  <si>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</si>
  <si>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</si>
  <si>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</si>
  <si>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</si>
  <si>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</si>
  <si>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</si>
  <si>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</si>
  <si>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</si>
  <si>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</si>
  <si>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</si>
  <si>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</si>
  <si>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</si>
  <si>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</si>
  <si>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</si>
  <si>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</si>
  <si>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</si>
  <si>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</si>
  <si>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</si>
  <si>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</si>
  <si>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</si>
  <si>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</si>
  <si>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</si>
  <si>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</si>
  <si>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</si>
  <si>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</si>
  <si>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</si>
  <si>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</si>
  <si>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</si>
  <si>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</si>
  <si>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</si>
  <si>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</si>
  <si>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</si>
  <si>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</si>
  <si>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</si>
  <si>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</si>
  <si>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</si>
  <si>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</si>
  <si>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</si>
  <si>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</si>
  <si>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</si>
  <si>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</si>
  <si>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</si>
  <si>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</si>
  <si>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</si>
  <si>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</si>
  <si>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</si>
  <si>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</si>
  <si>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</si>
  <si>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</si>
  <si>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</si>
  <si>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</si>
  <si>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</si>
  <si>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</si>
  <si>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</si>
  <si>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</si>
  <si>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</si>
  <si>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</si>
  <si>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</si>
  <si>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</si>
  <si>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</si>
  <si>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</si>
  <si>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</si>
  <si>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</si>
  <si>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</si>
  <si>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</si>
  <si>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</si>
  <si>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</si>
  <si>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</si>
  <si>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</si>
  <si>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</si>
  <si>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</si>
  <si>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</si>
  <si>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</si>
  <si>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</si>
  <si>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</si>
  <si>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</si>
  <si>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</si>
  <si>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</si>
  <si>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</si>
  <si>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</si>
  <si>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</si>
  <si>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</si>
  <si>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</si>
  <si>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</si>
  <si>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</si>
  <si>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</si>
  <si>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</si>
  <si>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</si>
  <si>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</si>
  <si>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</si>
  <si>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</si>
  <si>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</si>
  <si>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</si>
  <si>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</si>
  <si>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</si>
  <si>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</si>
  <si>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</si>
  <si>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</si>
  <si>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</si>
  <si>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</si>
  <si>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</si>
  <si>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</si>
  <si>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</si>
  <si>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</si>
  <si>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</si>
  <si>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</si>
  <si>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</si>
  <si>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</si>
  <si>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</si>
  <si>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</si>
  <si>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</si>
  <si>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</si>
  <si>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</si>
  <si>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</si>
  <si>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</si>
  <si>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</si>
  <si>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</si>
  <si>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</si>
  <si>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</si>
  <si>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</si>
  <si>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</si>
  <si>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</si>
  <si>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</si>
  <si>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</si>
  <si>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</si>
  <si>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</si>
  <si>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</si>
  <si>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</si>
  <si>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</si>
  <si>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</si>
  <si>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USR-101059</t>
  </si>
  <si>
    <t>USR-101210</t>
  </si>
  <si>
    <t>USR-101232</t>
  </si>
  <si>
    <t>USR-101362</t>
  </si>
  <si>
    <t>Row Labels</t>
  </si>
  <si>
    <t>Grand Total</t>
  </si>
  <si>
    <t>Count of user_id</t>
  </si>
  <si>
    <t>Average of visited_landing_page</t>
  </si>
  <si>
    <t>Average of started_trial</t>
  </si>
  <si>
    <t>Average of completed_onboarding</t>
  </si>
  <si>
    <t>Average of converted_to_paid</t>
  </si>
  <si>
    <t>Average of revenue_30d</t>
  </si>
  <si>
    <t>Average of refund_requested</t>
  </si>
  <si>
    <t>has_support_ticket</t>
  </si>
  <si>
    <t>Average of has_support_ticket</t>
  </si>
  <si>
    <t>Average of engagement_score</t>
  </si>
  <si>
    <t>Average of days_to_convert</t>
  </si>
  <si>
    <t>Control Vs Treatment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</si>
</sst>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155E7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4" fontId="0" fillId="0" borderId="0" xfId="0" applyNumberFormat="1"/>
    <xf numFmtId="0" fontId="3" fillId="4" borderId="1" xfId="0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yushi" refreshedDate="46200.940723148145" createdVersion="8" refreshedVersion="8" minRefreshableVersion="3" recordCount="1408" xr:uid="{B29F4628-9905-43F8-A111-D2B24EF9F3BE}">
  <cacheSource type="worksheet">
    <worksheetSource ref="A1:Q1409" sheet="Dataset"/>
  </cacheSource>
  <cacheFields count="17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/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 count="2">
        <n v="0"/>
        <n v="1"/>
      </sharedItems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has_support_ticket" numFmtId="0">
      <sharedItems containsSemiMixedTypes="0" containsString="0" containsNumber="1" containsInteger="1" minValue="0" maxValue="1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s v="North"/>
    <s v="Desktop"/>
    <s v="Email"/>
    <s v="Basic"/>
    <n v="0"/>
    <n v="0"/>
    <n v="0"/>
    <x v="0"/>
    <n v="0"/>
    <n v="0"/>
    <n v="0"/>
    <n v="0"/>
    <m/>
    <n v="45.7"/>
  </r>
  <r>
    <s v="USR-100002"/>
    <d v="2025-03-08T00:00:00"/>
    <x v="0"/>
    <s v="West"/>
    <s v="Mobile"/>
    <s v="Organic"/>
    <s v="Free"/>
    <n v="1"/>
    <n v="0"/>
    <n v="0"/>
    <x v="0"/>
    <n v="0"/>
    <n v="0"/>
    <n v="0"/>
    <n v="0"/>
    <m/>
    <n v="48.6"/>
  </r>
  <r>
    <s v="USR-100003"/>
    <d v="2025-04-24T00:00:00"/>
    <x v="0"/>
    <s v="East"/>
    <s v="Mobile"/>
    <s v="Paid Search"/>
    <s v="Premium"/>
    <n v="1"/>
    <n v="0"/>
    <n v="0"/>
    <x v="0"/>
    <n v="0"/>
    <n v="1"/>
    <n v="1"/>
    <n v="0"/>
    <m/>
    <n v="35.4"/>
  </r>
  <r>
    <s v="USR-100004"/>
    <d v="2025-05-04T00:00:00"/>
    <x v="0"/>
    <s v="South"/>
    <s v="Mobile"/>
    <s v="Email"/>
    <s v="Basic"/>
    <n v="1"/>
    <n v="0"/>
    <n v="0"/>
    <x v="0"/>
    <n v="0"/>
    <n v="0"/>
    <n v="0"/>
    <n v="0"/>
    <m/>
    <n v="64.599999999999994"/>
  </r>
  <r>
    <s v="USR-100005"/>
    <d v="2025-02-12T00:00:00"/>
    <x v="0"/>
    <s v="North"/>
    <s v="Tablet"/>
    <s v="Organic"/>
    <s v="Free"/>
    <n v="0"/>
    <n v="0"/>
    <n v="0"/>
    <x v="0"/>
    <n v="0"/>
    <n v="0"/>
    <n v="0"/>
    <n v="0"/>
    <m/>
    <n v="66.599999999999994"/>
  </r>
  <r>
    <s v="USR-100006"/>
    <d v="2025-01-28T00:00:00"/>
    <x v="0"/>
    <s v="East"/>
    <s v="Mobile"/>
    <s v="Organic"/>
    <s v="Premium"/>
    <n v="1"/>
    <n v="0"/>
    <n v="0"/>
    <x v="0"/>
    <n v="0"/>
    <n v="0"/>
    <n v="0"/>
    <n v="0"/>
    <m/>
    <n v="40.799999999999997"/>
  </r>
  <r>
    <s v="USR-100007"/>
    <d v="2025-04-08T00:00:00"/>
    <x v="0"/>
    <s v="East"/>
    <s v="Mobile"/>
    <s v="Paid Search"/>
    <s v="Basic"/>
    <n v="1"/>
    <n v="1"/>
    <n v="0"/>
    <x v="0"/>
    <n v="0"/>
    <n v="0"/>
    <n v="0"/>
    <n v="0"/>
    <m/>
    <n v="57.1"/>
  </r>
  <r>
    <s v="USR-100008"/>
    <d v="2025-05-17T00:00:00"/>
    <x v="0"/>
    <s v="South"/>
    <s v="Mobile"/>
    <s v="Paid Search"/>
    <s v="Free"/>
    <n v="0"/>
    <n v="0"/>
    <n v="0"/>
    <x v="0"/>
    <n v="0"/>
    <n v="0"/>
    <n v="0"/>
    <n v="0"/>
    <m/>
    <n v="36.4"/>
  </r>
  <r>
    <s v="USR-100009"/>
    <d v="2025-02-23T00:00:00"/>
    <x v="0"/>
    <s v="South"/>
    <s v="Tablet"/>
    <s v="Referral"/>
    <s v="Basic"/>
    <n v="0"/>
    <n v="0"/>
    <n v="0"/>
    <x v="0"/>
    <n v="0"/>
    <n v="0"/>
    <n v="0"/>
    <n v="0"/>
    <m/>
    <n v="55.4"/>
  </r>
  <r>
    <s v="USR-100010"/>
    <d v="2025-05-29T00:00:00"/>
    <x v="0"/>
    <s v="West"/>
    <s v="Desktop"/>
    <s v="Social"/>
    <s v="Free"/>
    <n v="1"/>
    <n v="0"/>
    <n v="0"/>
    <x v="0"/>
    <n v="0"/>
    <n v="0"/>
    <n v="0"/>
    <n v="0"/>
    <m/>
    <n v="57.3"/>
  </r>
  <r>
    <s v="USR-100011"/>
    <d v="2025-04-30T00:00:00"/>
    <x v="0"/>
    <s v="East"/>
    <s v="Mobile"/>
    <s v="Paid Search"/>
    <s v="Basic"/>
    <n v="1"/>
    <n v="1"/>
    <n v="1"/>
    <x v="0"/>
    <n v="0"/>
    <n v="0"/>
    <n v="0"/>
    <n v="0"/>
    <m/>
    <n v="63.6"/>
  </r>
  <r>
    <s v="USR-100012"/>
    <d v="2025-03-16T00:00:00"/>
    <x v="0"/>
    <s v="East"/>
    <s v="Mobile"/>
    <s v="Social"/>
    <s v="Premium"/>
    <n v="1"/>
    <n v="1"/>
    <n v="1"/>
    <x v="0"/>
    <n v="0"/>
    <n v="1"/>
    <n v="1"/>
    <n v="0"/>
    <m/>
    <n v="80.400000000000006"/>
  </r>
  <r>
    <s v="USR-100013"/>
    <d v="2025-02-07T00:00:00"/>
    <x v="0"/>
    <s v="South"/>
    <s v="Desktop"/>
    <s v="Email"/>
    <s v="Basic"/>
    <n v="1"/>
    <n v="0"/>
    <n v="0"/>
    <x v="0"/>
    <n v="0"/>
    <n v="0"/>
    <n v="0"/>
    <n v="0"/>
    <m/>
    <n v="62.4"/>
  </r>
  <r>
    <s v="USR-100014"/>
    <d v="2025-03-02T00:00:00"/>
    <x v="0"/>
    <s v="West"/>
    <s v="Mobile"/>
    <s v="Social"/>
    <s v="Basic"/>
    <n v="1"/>
    <n v="0"/>
    <n v="0"/>
    <x v="0"/>
    <n v="0"/>
    <n v="0"/>
    <n v="0"/>
    <n v="0"/>
    <m/>
    <n v="82.4"/>
  </r>
  <r>
    <s v="USR-100015"/>
    <d v="2025-05-30T00:00:00"/>
    <x v="0"/>
    <s v="South"/>
    <s v="Mobile"/>
    <s v="Organic"/>
    <s v="Basic"/>
    <n v="0"/>
    <n v="0"/>
    <n v="0"/>
    <x v="0"/>
    <n v="0"/>
    <n v="0"/>
    <n v="0"/>
    <n v="0"/>
    <m/>
    <n v="61.2"/>
  </r>
  <r>
    <s v="USR-100016"/>
    <d v="2025-03-25T00:00:00"/>
    <x v="0"/>
    <s v="South"/>
    <s v="Mobile"/>
    <s v="Social"/>
    <s v="Basic"/>
    <n v="1"/>
    <n v="0"/>
    <n v="0"/>
    <x v="0"/>
    <n v="0"/>
    <n v="0"/>
    <n v="0"/>
    <n v="0"/>
    <m/>
    <n v="68.900000000000006"/>
  </r>
  <r>
    <s v="USR-100017"/>
    <d v="2025-03-27T00:00:00"/>
    <x v="0"/>
    <s v="East"/>
    <s v="Desktop"/>
    <s v="Paid Search"/>
    <s v="Free"/>
    <n v="1"/>
    <n v="1"/>
    <n v="1"/>
    <x v="0"/>
    <n v="0"/>
    <n v="0"/>
    <n v="0"/>
    <n v="0"/>
    <m/>
    <n v="71.900000000000006"/>
  </r>
  <r>
    <s v="USR-100018"/>
    <d v="2025-05-28T00:00:00"/>
    <x v="0"/>
    <s v="South"/>
    <s v="Desktop"/>
    <s v="Paid Search"/>
    <s v="Free"/>
    <n v="0"/>
    <n v="0"/>
    <n v="0"/>
    <x v="0"/>
    <n v="0"/>
    <n v="0"/>
    <n v="0"/>
    <n v="0"/>
    <m/>
    <n v="50.5"/>
  </r>
  <r>
    <s v="USR-100019"/>
    <d v="2025-02-15T00:00:00"/>
    <x v="0"/>
    <s v="North"/>
    <s v="Desktop"/>
    <s v="Paid Search"/>
    <s v="Basic"/>
    <n v="0"/>
    <n v="0"/>
    <n v="0"/>
    <x v="0"/>
    <n v="0"/>
    <n v="0"/>
    <n v="0"/>
    <n v="0"/>
    <m/>
    <n v="49.3"/>
  </r>
  <r>
    <s v="USR-100020"/>
    <d v="2025-05-05T00:00:00"/>
    <x v="0"/>
    <s v="West"/>
    <s v="Desktop"/>
    <s v="Organic"/>
    <s v="Basic"/>
    <n v="0"/>
    <n v="0"/>
    <n v="0"/>
    <x v="0"/>
    <n v="0"/>
    <n v="2"/>
    <n v="1"/>
    <n v="0"/>
    <m/>
    <n v="60.9"/>
  </r>
  <r>
    <s v="USR-100021"/>
    <d v="2025-04-13T00:00:00"/>
    <x v="0"/>
    <s v="East"/>
    <s v="Mobile"/>
    <s v="Social"/>
    <s v="Free"/>
    <n v="1"/>
    <n v="0"/>
    <n v="0"/>
    <x v="0"/>
    <n v="0"/>
    <n v="0"/>
    <n v="0"/>
    <n v="0"/>
    <m/>
    <n v="62.7"/>
  </r>
  <r>
    <s v="USR-100022"/>
    <d v="2025-05-07T00:00:00"/>
    <x v="0"/>
    <s v="North"/>
    <s v="Desktop"/>
    <s v="Paid Search"/>
    <s v="Free"/>
    <n v="0"/>
    <n v="0"/>
    <n v="0"/>
    <x v="0"/>
    <n v="0"/>
    <n v="0"/>
    <n v="0"/>
    <n v="0"/>
    <m/>
    <n v="52.7"/>
  </r>
  <r>
    <s v="USR-100023"/>
    <d v="2025-05-25T00:00:00"/>
    <x v="0"/>
    <s v="North"/>
    <s v="Desktop"/>
    <s v="Organic"/>
    <s v="Free"/>
    <n v="0"/>
    <n v="0"/>
    <n v="0"/>
    <x v="0"/>
    <n v="0"/>
    <n v="0"/>
    <n v="0"/>
    <n v="0"/>
    <m/>
    <n v="54"/>
  </r>
  <r>
    <s v="USR-100024"/>
    <d v="2025-04-01T00:00:00"/>
    <x v="0"/>
    <s v="East"/>
    <s v="Mobile"/>
    <s v="Paid Search"/>
    <s v="Premium"/>
    <n v="1"/>
    <n v="1"/>
    <n v="0"/>
    <x v="0"/>
    <n v="0"/>
    <n v="0"/>
    <n v="0"/>
    <n v="0"/>
    <m/>
    <n v="51.6"/>
  </r>
  <r>
    <s v="USR-100025"/>
    <d v="2025-02-22T00:00:00"/>
    <x v="0"/>
    <s v="North"/>
    <s v="Mobile"/>
    <s v="Paid Search"/>
    <s v="Premium"/>
    <n v="0"/>
    <n v="0"/>
    <n v="0"/>
    <x v="0"/>
    <n v="0"/>
    <n v="2"/>
    <n v="1"/>
    <n v="0"/>
    <m/>
    <n v="66.900000000000006"/>
  </r>
  <r>
    <s v="USR-100026"/>
    <d v="2025-03-24T00:00:00"/>
    <x v="0"/>
    <s v="East"/>
    <s v="Mobile"/>
    <s v="Organic"/>
    <s v="Basic"/>
    <n v="0"/>
    <n v="0"/>
    <n v="0"/>
    <x v="0"/>
    <n v="0"/>
    <n v="0"/>
    <n v="0"/>
    <n v="0"/>
    <m/>
    <n v="67.400000000000006"/>
  </r>
  <r>
    <s v="USR-100027"/>
    <d v="2025-02-13T00:00:00"/>
    <x v="0"/>
    <s v="North"/>
    <s v="Mobile"/>
    <s v="Organic"/>
    <s v="Free"/>
    <n v="0"/>
    <n v="0"/>
    <n v="0"/>
    <x v="0"/>
    <n v="0"/>
    <n v="0"/>
    <n v="0"/>
    <n v="0"/>
    <m/>
    <n v="58.8"/>
  </r>
  <r>
    <s v="USR-100028"/>
    <d v="2025-05-30T00:00:00"/>
    <x v="0"/>
    <s v="South"/>
    <s v="Mobile"/>
    <s v="Organic"/>
    <s v="Free"/>
    <n v="1"/>
    <n v="0"/>
    <n v="0"/>
    <x v="0"/>
    <n v="0"/>
    <n v="0"/>
    <n v="0"/>
    <n v="0"/>
    <m/>
    <n v="73.8"/>
  </r>
  <r>
    <s v="USR-100029"/>
    <d v="2025-01-20T00:00:00"/>
    <x v="0"/>
    <s v="East"/>
    <s v="Tablet"/>
    <s v="Organic"/>
    <s v="Basic"/>
    <n v="0"/>
    <n v="0"/>
    <n v="0"/>
    <x v="0"/>
    <n v="0"/>
    <n v="0"/>
    <n v="0"/>
    <n v="0"/>
    <m/>
    <n v="60.1"/>
  </r>
  <r>
    <s v="USR-100030"/>
    <d v="2025-05-19T00:00:00"/>
    <x v="0"/>
    <s v="East"/>
    <s v="Mobile"/>
    <s v="Social"/>
    <s v="Basic"/>
    <n v="1"/>
    <n v="1"/>
    <n v="1"/>
    <x v="0"/>
    <n v="0"/>
    <n v="0"/>
    <n v="0"/>
    <n v="0"/>
    <m/>
    <n v="41"/>
  </r>
  <r>
    <s v="USR-100031"/>
    <d v="2025-02-18T00:00:00"/>
    <x v="0"/>
    <s v="South"/>
    <s v="Mobile"/>
    <s v="Organic"/>
    <s v="Basic"/>
    <n v="1"/>
    <n v="0"/>
    <n v="0"/>
    <x v="0"/>
    <n v="0"/>
    <n v="0"/>
    <n v="0"/>
    <n v="0"/>
    <m/>
    <n v="80.3"/>
  </r>
  <r>
    <s v="USR-100032"/>
    <d v="2025-02-13T00:00:00"/>
    <x v="0"/>
    <s v="East"/>
    <s v="Mobile"/>
    <s v="Organic"/>
    <s v="Free"/>
    <n v="0"/>
    <n v="0"/>
    <n v="0"/>
    <x v="0"/>
    <n v="0"/>
    <n v="0"/>
    <n v="0"/>
    <n v="0"/>
    <m/>
    <n v="67.599999999999994"/>
  </r>
  <r>
    <s v="USR-100033"/>
    <d v="2025-03-08T00:00:00"/>
    <x v="0"/>
    <s v="East"/>
    <s v="Desktop"/>
    <s v="Referral"/>
    <s v="Premium"/>
    <n v="0"/>
    <n v="0"/>
    <n v="0"/>
    <x v="0"/>
    <n v="0"/>
    <n v="0"/>
    <n v="0"/>
    <n v="0"/>
    <m/>
    <n v="64"/>
  </r>
  <r>
    <s v="USR-100034"/>
    <d v="2025-01-11T00:00:00"/>
    <x v="0"/>
    <s v="North"/>
    <s v="Mobile"/>
    <s v="Paid Search"/>
    <s v="Free"/>
    <n v="1"/>
    <n v="1"/>
    <n v="0"/>
    <x v="0"/>
    <n v="0"/>
    <n v="0"/>
    <n v="0"/>
    <n v="0"/>
    <m/>
    <n v="27.2"/>
  </r>
  <r>
    <s v="USR-100035"/>
    <d v="2025-02-12T00:00:00"/>
    <x v="0"/>
    <s v="North"/>
    <s v="Desktop"/>
    <s v="Organic"/>
    <s v="Free"/>
    <n v="1"/>
    <n v="0"/>
    <n v="0"/>
    <x v="0"/>
    <n v="0"/>
    <n v="0"/>
    <n v="0"/>
    <n v="0"/>
    <m/>
    <n v="85.4"/>
  </r>
  <r>
    <s v="USR-100036"/>
    <d v="2025-04-13T00:00:00"/>
    <x v="0"/>
    <s v="East"/>
    <s v="Desktop"/>
    <s v="Organic"/>
    <s v="Basic"/>
    <n v="1"/>
    <n v="0"/>
    <n v="0"/>
    <x v="0"/>
    <n v="0"/>
    <n v="0"/>
    <n v="0"/>
    <n v="0"/>
    <m/>
    <n v="75.900000000000006"/>
  </r>
  <r>
    <s v="USR-100037"/>
    <d v="2025-05-09T00:00:00"/>
    <x v="0"/>
    <s v="East"/>
    <s v="Mobile"/>
    <s v="Organic"/>
    <s v="Premium"/>
    <n v="1"/>
    <n v="0"/>
    <n v="0"/>
    <x v="0"/>
    <n v="0"/>
    <n v="1"/>
    <n v="1"/>
    <n v="0"/>
    <m/>
    <n v="34.799999999999997"/>
  </r>
  <r>
    <s v="USR-100038"/>
    <d v="2025-01-20T00:00:00"/>
    <x v="0"/>
    <s v="East"/>
    <s v="Mobile"/>
    <s v="Organic"/>
    <s v="Free"/>
    <n v="1"/>
    <n v="1"/>
    <n v="1"/>
    <x v="0"/>
    <n v="0"/>
    <n v="3"/>
    <n v="1"/>
    <n v="0"/>
    <m/>
    <n v="48.9"/>
  </r>
  <r>
    <s v="USR-100039"/>
    <d v="2025-05-13T00:00:00"/>
    <x v="0"/>
    <s v="East"/>
    <s v="Mobile"/>
    <s v="Email"/>
    <s v="Premium"/>
    <n v="1"/>
    <n v="0"/>
    <n v="0"/>
    <x v="0"/>
    <n v="0"/>
    <n v="0"/>
    <n v="0"/>
    <n v="0"/>
    <m/>
    <n v="41.5"/>
  </r>
  <r>
    <s v="USR-100040"/>
    <d v="2025-04-07T00:00:00"/>
    <x v="0"/>
    <s v="North"/>
    <s v="Desktop"/>
    <s v="Organic"/>
    <s v="Basic"/>
    <n v="1"/>
    <n v="0"/>
    <n v="0"/>
    <x v="0"/>
    <n v="0"/>
    <n v="0"/>
    <n v="0"/>
    <n v="0"/>
    <m/>
    <n v="51.5"/>
  </r>
  <r>
    <s v="USR-100041"/>
    <d v="2025-03-31T00:00:00"/>
    <x v="0"/>
    <s v="North"/>
    <s v="Desktop"/>
    <s v="Organic"/>
    <s v="Free"/>
    <n v="0"/>
    <n v="0"/>
    <n v="0"/>
    <x v="0"/>
    <n v="0"/>
    <n v="0"/>
    <n v="0"/>
    <n v="0"/>
    <m/>
    <n v="53.2"/>
  </r>
  <r>
    <s v="USR-100042"/>
    <d v="2025-01-25T00:00:00"/>
    <x v="0"/>
    <s v="East"/>
    <s v="Mobile"/>
    <s v="Email"/>
    <s v="Premium"/>
    <n v="0"/>
    <n v="0"/>
    <n v="0"/>
    <x v="0"/>
    <n v="0"/>
    <n v="0"/>
    <n v="0"/>
    <n v="0"/>
    <m/>
    <n v="55.6"/>
  </r>
  <r>
    <s v="USR-100043"/>
    <d v="2025-02-14T00:00:00"/>
    <x v="0"/>
    <s v="South"/>
    <s v="Desktop"/>
    <s v="Organic"/>
    <s v="Free"/>
    <n v="0"/>
    <n v="0"/>
    <n v="0"/>
    <x v="0"/>
    <n v="0"/>
    <n v="0"/>
    <n v="0"/>
    <n v="0"/>
    <m/>
    <n v="73"/>
  </r>
  <r>
    <s v="USR-100044"/>
    <d v="2025-02-27T00:00:00"/>
    <x v="0"/>
    <s v="East"/>
    <s v="Mobile"/>
    <s v="Email"/>
    <s v="Free"/>
    <n v="1"/>
    <n v="0"/>
    <n v="0"/>
    <x v="0"/>
    <n v="0"/>
    <n v="0"/>
    <n v="0"/>
    <n v="0"/>
    <m/>
    <n v="65"/>
  </r>
  <r>
    <s v="USR-100045"/>
    <d v="2025-03-28T00:00:00"/>
    <x v="0"/>
    <s v="East"/>
    <s v="Mobile"/>
    <s v="Social"/>
    <s v="Free"/>
    <n v="1"/>
    <n v="0"/>
    <n v="0"/>
    <x v="0"/>
    <n v="0"/>
    <n v="4"/>
    <n v="1"/>
    <n v="0"/>
    <m/>
    <n v="56.3"/>
  </r>
  <r>
    <s v="USR-100046"/>
    <d v="2025-05-25T00:00:00"/>
    <x v="0"/>
    <s v="East"/>
    <s v="Mobile"/>
    <s v="Referral"/>
    <s v="Premium"/>
    <n v="1"/>
    <n v="0"/>
    <n v="0"/>
    <x v="0"/>
    <n v="0"/>
    <n v="0"/>
    <n v="0"/>
    <n v="0"/>
    <m/>
    <n v="62.4"/>
  </r>
  <r>
    <s v="USR-100047"/>
    <d v="2025-05-05T00:00:00"/>
    <x v="0"/>
    <s v="West"/>
    <s v="Desktop"/>
    <s v="Organic"/>
    <s v="Free"/>
    <n v="1"/>
    <n v="1"/>
    <n v="1"/>
    <x v="0"/>
    <n v="0"/>
    <n v="0"/>
    <n v="0"/>
    <n v="0"/>
    <m/>
    <n v="58.1"/>
  </r>
  <r>
    <s v="USR-100048"/>
    <d v="2025-05-16T00:00:00"/>
    <x v="0"/>
    <s v="North"/>
    <s v="Mobile"/>
    <s v="Organic"/>
    <s v="Free"/>
    <n v="1"/>
    <n v="1"/>
    <n v="1"/>
    <x v="0"/>
    <n v="0"/>
    <n v="0"/>
    <n v="0"/>
    <n v="0"/>
    <m/>
    <n v="80.8"/>
  </r>
  <r>
    <s v="USR-100049"/>
    <d v="2025-01-08T00:00:00"/>
    <x v="0"/>
    <s v="North"/>
    <s v="Mobile"/>
    <s v="Social"/>
    <s v="Free"/>
    <n v="1"/>
    <n v="1"/>
    <n v="0"/>
    <x v="0"/>
    <n v="0"/>
    <n v="0"/>
    <n v="0"/>
    <n v="0"/>
    <m/>
    <n v="42.9"/>
  </r>
  <r>
    <s v="USR-100050"/>
    <d v="2025-01-06T00:00:00"/>
    <x v="0"/>
    <s v="West"/>
    <s v="Desktop"/>
    <s v="Paid Search"/>
    <s v="Free"/>
    <n v="1"/>
    <n v="0"/>
    <n v="0"/>
    <x v="0"/>
    <n v="0"/>
    <n v="0"/>
    <n v="0"/>
    <n v="0"/>
    <m/>
    <n v="52.7"/>
  </r>
  <r>
    <s v="USR-100051"/>
    <d v="2025-01-12T00:00:00"/>
    <x v="0"/>
    <s v="North"/>
    <s v="Mobile"/>
    <s v="Social"/>
    <s v="Basic"/>
    <n v="0"/>
    <n v="0"/>
    <n v="0"/>
    <x v="0"/>
    <n v="0"/>
    <n v="0"/>
    <n v="0"/>
    <n v="0"/>
    <m/>
    <n v="46.9"/>
  </r>
  <r>
    <s v="USR-100052"/>
    <d v="2025-02-14T00:00:00"/>
    <x v="0"/>
    <s v="East"/>
    <s v="Desktop"/>
    <s v="Email"/>
    <s v="Premium"/>
    <n v="1"/>
    <n v="0"/>
    <n v="0"/>
    <x v="0"/>
    <n v="0"/>
    <n v="0"/>
    <n v="0"/>
    <n v="0"/>
    <m/>
    <n v="63"/>
  </r>
  <r>
    <s v="USR-100053"/>
    <d v="2025-03-10T00:00:00"/>
    <x v="0"/>
    <s v="South"/>
    <s v="Tablet"/>
    <s v="Organic"/>
    <s v="Free"/>
    <n v="0"/>
    <n v="0"/>
    <n v="0"/>
    <x v="0"/>
    <n v="0"/>
    <n v="0"/>
    <n v="0"/>
    <n v="0"/>
    <m/>
    <n v="53.6"/>
  </r>
  <r>
    <s v="USR-100054"/>
    <d v="2025-04-20T00:00:00"/>
    <x v="0"/>
    <s v="West"/>
    <s v="Desktop"/>
    <s v="Organic"/>
    <s v="Basic"/>
    <n v="0"/>
    <n v="0"/>
    <n v="0"/>
    <x v="0"/>
    <n v="0"/>
    <n v="0"/>
    <n v="0"/>
    <n v="0"/>
    <m/>
    <n v="49.6"/>
  </r>
  <r>
    <s v="USR-100055"/>
    <d v="2025-02-19T00:00:00"/>
    <x v="0"/>
    <s v="South"/>
    <s v="Mobile"/>
    <s v="Organic"/>
    <s v="Free"/>
    <n v="0"/>
    <n v="0"/>
    <n v="0"/>
    <x v="0"/>
    <n v="0"/>
    <n v="0"/>
    <n v="0"/>
    <n v="0"/>
    <m/>
    <n v="54"/>
  </r>
  <r>
    <s v="USR-100056"/>
    <d v="2025-05-17T00:00:00"/>
    <x v="0"/>
    <s v="South"/>
    <s v="Mobile"/>
    <s v="Social"/>
    <s v="Basic"/>
    <n v="1"/>
    <n v="0"/>
    <n v="0"/>
    <x v="0"/>
    <n v="0"/>
    <n v="2"/>
    <n v="1"/>
    <n v="0"/>
    <m/>
    <n v="50"/>
  </r>
  <r>
    <s v="USR-100057"/>
    <d v="2025-04-01T00:00:00"/>
    <x v="0"/>
    <s v="East"/>
    <s v="Mobile"/>
    <s v="Social"/>
    <s v="Basic"/>
    <n v="0"/>
    <n v="0"/>
    <n v="0"/>
    <x v="0"/>
    <n v="0"/>
    <n v="0"/>
    <n v="0"/>
    <n v="0"/>
    <m/>
    <n v="48.1"/>
  </r>
  <r>
    <s v="USR-100058"/>
    <d v="2025-02-04T00:00:00"/>
    <x v="0"/>
    <s v="North"/>
    <s v="Desktop"/>
    <s v="Organic"/>
    <s v="Free"/>
    <n v="1"/>
    <n v="0"/>
    <n v="0"/>
    <x v="0"/>
    <n v="0"/>
    <n v="0"/>
    <n v="0"/>
    <n v="0"/>
    <m/>
    <n v="49.6"/>
  </r>
  <r>
    <s v="USR-100059"/>
    <d v="2025-04-14T00:00:00"/>
    <x v="0"/>
    <s v="North"/>
    <s v="Mobile"/>
    <s v="Social"/>
    <s v="Free"/>
    <n v="0"/>
    <n v="0"/>
    <n v="0"/>
    <x v="0"/>
    <n v="0"/>
    <n v="2"/>
    <n v="1"/>
    <n v="0"/>
    <m/>
    <n v="48.9"/>
  </r>
  <r>
    <s v="USR-100060"/>
    <d v="2025-01-01T00:00:00"/>
    <x v="0"/>
    <s v="West"/>
    <s v="Mobile"/>
    <s v="Social"/>
    <s v="Free"/>
    <n v="1"/>
    <n v="1"/>
    <n v="1"/>
    <x v="1"/>
    <n v="240.42"/>
    <n v="0"/>
    <n v="0"/>
    <n v="0"/>
    <n v="16"/>
    <n v="56.5"/>
  </r>
  <r>
    <s v="USR-100061"/>
    <d v="2025-04-02T00:00:00"/>
    <x v="0"/>
    <s v="South"/>
    <s v="Mobile"/>
    <s v="Referral"/>
    <s v="Free"/>
    <n v="1"/>
    <n v="0"/>
    <n v="0"/>
    <x v="0"/>
    <n v="0"/>
    <n v="0"/>
    <n v="0"/>
    <n v="0"/>
    <m/>
    <n v="53.7"/>
  </r>
  <r>
    <s v="USR-100062"/>
    <d v="2025-03-29T00:00:00"/>
    <x v="0"/>
    <s v="North"/>
    <s v="Mobile"/>
    <s v="Social"/>
    <s v="Premium"/>
    <n v="0"/>
    <n v="0"/>
    <n v="0"/>
    <x v="0"/>
    <n v="0"/>
    <n v="0"/>
    <n v="0"/>
    <n v="0"/>
    <m/>
    <n v="62.2"/>
  </r>
  <r>
    <s v="USR-100063"/>
    <d v="2025-05-15T00:00:00"/>
    <x v="0"/>
    <s v="South"/>
    <s v="Desktop"/>
    <s v="Organic"/>
    <s v="Free"/>
    <n v="1"/>
    <n v="0"/>
    <n v="0"/>
    <x v="0"/>
    <n v="0"/>
    <n v="0"/>
    <n v="0"/>
    <n v="0"/>
    <m/>
    <n v="50.2"/>
  </r>
  <r>
    <s v="USR-100064"/>
    <d v="2025-04-11T00:00:00"/>
    <x v="0"/>
    <s v="North"/>
    <s v="Mobile"/>
    <s v="Organic"/>
    <s v="Basic"/>
    <n v="1"/>
    <n v="0"/>
    <n v="0"/>
    <x v="0"/>
    <n v="0"/>
    <n v="0"/>
    <n v="0"/>
    <n v="0"/>
    <m/>
    <n v="74.3"/>
  </r>
  <r>
    <s v="USR-100065"/>
    <d v="2025-03-07T00:00:00"/>
    <x v="0"/>
    <s v="South"/>
    <s v="Desktop"/>
    <s v="Paid Search"/>
    <s v="Free"/>
    <n v="1"/>
    <n v="0"/>
    <n v="0"/>
    <x v="0"/>
    <n v="0"/>
    <n v="0"/>
    <n v="0"/>
    <n v="0"/>
    <m/>
    <n v="58"/>
  </r>
  <r>
    <s v="USR-100066"/>
    <d v="2025-05-30T00:00:00"/>
    <x v="0"/>
    <s v="South"/>
    <s v="Mobile"/>
    <s v="Organic"/>
    <s v="Free"/>
    <n v="0"/>
    <n v="0"/>
    <n v="0"/>
    <x v="0"/>
    <n v="0"/>
    <n v="0"/>
    <n v="0"/>
    <n v="0"/>
    <m/>
    <n v="46.7"/>
  </r>
  <r>
    <s v="USR-100067"/>
    <d v="2025-01-07T00:00:00"/>
    <x v="0"/>
    <s v="South"/>
    <s v="Desktop"/>
    <s v="Organic"/>
    <s v="Premium"/>
    <n v="1"/>
    <n v="0"/>
    <n v="0"/>
    <x v="0"/>
    <n v="0"/>
    <n v="1"/>
    <n v="1"/>
    <n v="0"/>
    <m/>
    <n v="49.6"/>
  </r>
  <r>
    <s v="USR-100068"/>
    <d v="2025-05-08T00:00:00"/>
    <x v="0"/>
    <s v="West"/>
    <s v="Mobile"/>
    <s v="Social"/>
    <s v="Free"/>
    <n v="0"/>
    <n v="0"/>
    <n v="0"/>
    <x v="0"/>
    <n v="0"/>
    <n v="0"/>
    <n v="0"/>
    <n v="0"/>
    <m/>
    <n v="60.4"/>
  </r>
  <r>
    <s v="USR-100069"/>
    <d v="2025-03-19T00:00:00"/>
    <x v="0"/>
    <s v="East"/>
    <s v="Desktop"/>
    <s v="Email"/>
    <s v="Free"/>
    <n v="1"/>
    <n v="1"/>
    <n v="1"/>
    <x v="0"/>
    <n v="0"/>
    <n v="0"/>
    <n v="0"/>
    <n v="0"/>
    <m/>
    <n v="55.3"/>
  </r>
  <r>
    <s v="USR-100070"/>
    <d v="2025-05-16T00:00:00"/>
    <x v="0"/>
    <s v="North"/>
    <s v="Desktop"/>
    <s v="Organic"/>
    <s v="Free"/>
    <n v="0"/>
    <n v="0"/>
    <n v="0"/>
    <x v="0"/>
    <n v="0"/>
    <n v="0"/>
    <n v="0"/>
    <n v="0"/>
    <m/>
    <n v="56.2"/>
  </r>
  <r>
    <s v="USR-100071"/>
    <d v="2025-03-08T00:00:00"/>
    <x v="0"/>
    <s v="West"/>
    <s v="Mobile"/>
    <s v="Email"/>
    <s v="Free"/>
    <n v="0"/>
    <n v="0"/>
    <n v="0"/>
    <x v="0"/>
    <n v="0"/>
    <n v="0"/>
    <n v="0"/>
    <n v="0"/>
    <m/>
    <n v="29.4"/>
  </r>
  <r>
    <s v="USR-100072"/>
    <d v="2025-03-08T00:00:00"/>
    <x v="0"/>
    <s v="East"/>
    <s v="Mobile"/>
    <s v="Email"/>
    <s v="Free"/>
    <n v="1"/>
    <n v="0"/>
    <n v="0"/>
    <x v="0"/>
    <n v="0"/>
    <n v="0"/>
    <n v="0"/>
    <n v="0"/>
    <m/>
    <n v="54.2"/>
  </r>
  <r>
    <s v="USR-100073"/>
    <d v="2025-01-14T00:00:00"/>
    <x v="0"/>
    <s v="East"/>
    <s v="Desktop"/>
    <s v="Paid Search"/>
    <s v="Basic"/>
    <n v="0"/>
    <n v="0"/>
    <n v="0"/>
    <x v="0"/>
    <n v="0"/>
    <n v="0"/>
    <n v="0"/>
    <n v="0"/>
    <m/>
    <n v="46.4"/>
  </r>
  <r>
    <s v="USR-100074"/>
    <d v="2025-02-10T00:00:00"/>
    <x v="0"/>
    <s v="South"/>
    <s v="Mobile"/>
    <s v="Paid Search"/>
    <s v="Basic"/>
    <n v="0"/>
    <n v="0"/>
    <n v="0"/>
    <x v="0"/>
    <n v="0"/>
    <n v="0"/>
    <n v="0"/>
    <n v="0"/>
    <m/>
    <n v="54.5"/>
  </r>
  <r>
    <s v="USR-100075"/>
    <d v="2025-03-17T00:00:00"/>
    <x v="0"/>
    <s v="North"/>
    <s v="Mobile"/>
    <s v="Organic"/>
    <s v="Free"/>
    <n v="0"/>
    <n v="0"/>
    <n v="0"/>
    <x v="0"/>
    <n v="0"/>
    <n v="0"/>
    <n v="0"/>
    <n v="0"/>
    <m/>
    <n v="58.5"/>
  </r>
  <r>
    <s v="USR-100076"/>
    <d v="2025-01-09T00:00:00"/>
    <x v="0"/>
    <s v="South"/>
    <s v="Mobile"/>
    <s v="Email"/>
    <s v="Free"/>
    <n v="0"/>
    <n v="0"/>
    <n v="0"/>
    <x v="0"/>
    <n v="0"/>
    <n v="0"/>
    <n v="0"/>
    <n v="0"/>
    <m/>
    <n v="75.900000000000006"/>
  </r>
  <r>
    <s v="USR-100077"/>
    <d v="2025-04-17T00:00:00"/>
    <x v="0"/>
    <s v="North"/>
    <s v="Mobile"/>
    <s v="Referral"/>
    <s v="Free"/>
    <n v="0"/>
    <n v="0"/>
    <n v="0"/>
    <x v="0"/>
    <n v="0"/>
    <n v="1"/>
    <n v="1"/>
    <n v="0"/>
    <m/>
    <n v="84.9"/>
  </r>
  <r>
    <s v="USR-100078"/>
    <d v="2025-01-16T00:00:00"/>
    <x v="0"/>
    <s v="North"/>
    <s v="Mobile"/>
    <s v="Organic"/>
    <s v="Free"/>
    <n v="0"/>
    <n v="0"/>
    <n v="0"/>
    <x v="0"/>
    <n v="0"/>
    <n v="2"/>
    <n v="1"/>
    <n v="0"/>
    <m/>
    <n v="48.4"/>
  </r>
  <r>
    <s v="USR-100079"/>
    <d v="2025-02-20T00:00:00"/>
    <x v="0"/>
    <s v="West"/>
    <s v="Desktop"/>
    <s v="Organic"/>
    <s v="Free"/>
    <n v="1"/>
    <n v="1"/>
    <n v="1"/>
    <x v="1"/>
    <n v="457.51"/>
    <n v="0"/>
    <n v="0"/>
    <n v="0"/>
    <n v="7"/>
    <n v="38"/>
  </r>
  <r>
    <s v="USR-100080"/>
    <d v="2025-05-21T00:00:00"/>
    <x v="0"/>
    <s v="East"/>
    <s v="Mobile"/>
    <s v="Social"/>
    <s v="Free"/>
    <n v="1"/>
    <n v="0"/>
    <n v="0"/>
    <x v="0"/>
    <n v="0"/>
    <n v="0"/>
    <n v="0"/>
    <n v="0"/>
    <m/>
    <n v="44.2"/>
  </r>
  <r>
    <s v="USR-100081"/>
    <d v="2025-05-08T00:00:00"/>
    <x v="0"/>
    <s v="South"/>
    <s v="Mobile"/>
    <s v="Organic"/>
    <s v="Free"/>
    <n v="1"/>
    <n v="1"/>
    <n v="1"/>
    <x v="0"/>
    <n v="0"/>
    <n v="0"/>
    <n v="0"/>
    <n v="0"/>
    <m/>
    <n v="81.2"/>
  </r>
  <r>
    <s v="USR-100082"/>
    <d v="2025-03-08T00:00:00"/>
    <x v="0"/>
    <s v="South"/>
    <s v="Mobile"/>
    <s v="Referral"/>
    <s v="Free"/>
    <n v="1"/>
    <n v="1"/>
    <n v="0"/>
    <x v="0"/>
    <n v="0"/>
    <n v="0"/>
    <n v="0"/>
    <n v="0"/>
    <m/>
    <n v="63.8"/>
  </r>
  <r>
    <s v="USR-100083"/>
    <d v="2025-04-01T00:00:00"/>
    <x v="0"/>
    <s v="South"/>
    <s v="Desktop"/>
    <s v="Email"/>
    <s v="Free"/>
    <n v="0"/>
    <n v="0"/>
    <n v="0"/>
    <x v="0"/>
    <n v="0"/>
    <n v="0"/>
    <n v="0"/>
    <n v="0"/>
    <m/>
    <n v="64.7"/>
  </r>
  <r>
    <s v="USR-100084"/>
    <d v="2025-03-03T00:00:00"/>
    <x v="0"/>
    <s v="West"/>
    <s v="Mobile"/>
    <s v="Social"/>
    <s v="Basic"/>
    <n v="0"/>
    <n v="0"/>
    <n v="0"/>
    <x v="0"/>
    <n v="0"/>
    <n v="0"/>
    <n v="0"/>
    <n v="0"/>
    <m/>
    <n v="60.4"/>
  </r>
  <r>
    <s v="USR-100085"/>
    <d v="2025-04-16T00:00:00"/>
    <x v="0"/>
    <s v="South"/>
    <s v="Mobile"/>
    <s v="Paid Search"/>
    <s v="Free"/>
    <n v="0"/>
    <n v="0"/>
    <n v="0"/>
    <x v="0"/>
    <n v="0"/>
    <n v="0"/>
    <n v="0"/>
    <n v="0"/>
    <m/>
    <n v="66.599999999999994"/>
  </r>
  <r>
    <s v="USR-100086"/>
    <d v="2025-01-09T00:00:00"/>
    <x v="0"/>
    <s v="North"/>
    <s v="Desktop"/>
    <s v="Organic"/>
    <s v="Free"/>
    <n v="1"/>
    <n v="0"/>
    <n v="0"/>
    <x v="0"/>
    <n v="0"/>
    <n v="0"/>
    <n v="0"/>
    <n v="0"/>
    <m/>
    <n v="50.9"/>
  </r>
  <r>
    <s v="USR-100087"/>
    <d v="2025-01-22T00:00:00"/>
    <x v="0"/>
    <s v="West"/>
    <s v="Desktop"/>
    <s v="Social"/>
    <s v="Basic"/>
    <n v="0"/>
    <n v="0"/>
    <n v="0"/>
    <x v="0"/>
    <n v="0"/>
    <n v="0"/>
    <n v="0"/>
    <n v="0"/>
    <m/>
    <n v="51"/>
  </r>
  <r>
    <s v="USR-100088"/>
    <d v="2025-04-30T00:00:00"/>
    <x v="0"/>
    <s v="South"/>
    <s v="Mobile"/>
    <s v="Email"/>
    <s v="Premium"/>
    <n v="0"/>
    <n v="0"/>
    <n v="0"/>
    <x v="0"/>
    <n v="0"/>
    <n v="0"/>
    <n v="0"/>
    <n v="0"/>
    <m/>
    <n v="65.8"/>
  </r>
  <r>
    <s v="USR-100089"/>
    <d v="2025-04-25T00:00:00"/>
    <x v="0"/>
    <s v="North"/>
    <s v="Mobile"/>
    <s v="Referral"/>
    <s v="Basic"/>
    <n v="1"/>
    <n v="0"/>
    <n v="0"/>
    <x v="0"/>
    <n v="0"/>
    <n v="0"/>
    <n v="0"/>
    <n v="0"/>
    <m/>
    <n v="61.8"/>
  </r>
  <r>
    <s v="USR-100090"/>
    <d v="2025-02-01T00:00:00"/>
    <x v="0"/>
    <s v="North"/>
    <s v="Mobile"/>
    <s v="Organic"/>
    <s v="Basic"/>
    <n v="1"/>
    <n v="0"/>
    <n v="0"/>
    <x v="0"/>
    <n v="0"/>
    <n v="0"/>
    <n v="0"/>
    <n v="0"/>
    <m/>
    <n v="54.5"/>
  </r>
  <r>
    <s v="USR-100091"/>
    <d v="2025-04-23T00:00:00"/>
    <x v="0"/>
    <s v="South"/>
    <s v="Desktop"/>
    <s v="Organic"/>
    <s v="Free"/>
    <n v="1"/>
    <n v="0"/>
    <n v="0"/>
    <x v="0"/>
    <n v="0"/>
    <n v="0"/>
    <n v="0"/>
    <n v="0"/>
    <m/>
    <n v="72.2"/>
  </r>
  <r>
    <s v="USR-100092"/>
    <d v="2025-02-27T00:00:00"/>
    <x v="0"/>
    <s v="South"/>
    <s v="Mobile"/>
    <s v="Social"/>
    <s v="Free"/>
    <n v="1"/>
    <n v="0"/>
    <n v="0"/>
    <x v="0"/>
    <n v="0"/>
    <n v="0"/>
    <n v="0"/>
    <n v="0"/>
    <m/>
    <n v="42.3"/>
  </r>
  <r>
    <s v="USR-100093"/>
    <d v="2025-04-09T00:00:00"/>
    <x v="0"/>
    <s v="East"/>
    <s v="Desktop"/>
    <s v="Organic"/>
    <s v="Basic"/>
    <n v="1"/>
    <n v="0"/>
    <n v="0"/>
    <x v="0"/>
    <n v="0"/>
    <n v="0"/>
    <n v="0"/>
    <n v="0"/>
    <m/>
    <n v="76.2"/>
  </r>
  <r>
    <s v="USR-100094"/>
    <d v="2025-05-13T00:00:00"/>
    <x v="0"/>
    <s v="South"/>
    <s v="Tablet"/>
    <s v="Organic"/>
    <s v="Premium"/>
    <n v="1"/>
    <n v="1"/>
    <n v="1"/>
    <x v="0"/>
    <n v="0"/>
    <n v="1"/>
    <n v="1"/>
    <n v="0"/>
    <m/>
    <n v="37.4"/>
  </r>
  <r>
    <s v="USR-100095"/>
    <d v="2025-04-13T00:00:00"/>
    <x v="0"/>
    <s v="East"/>
    <s v="Mobile"/>
    <s v="Organic"/>
    <s v="Free"/>
    <n v="0"/>
    <n v="0"/>
    <n v="0"/>
    <x v="0"/>
    <n v="0"/>
    <n v="0"/>
    <n v="0"/>
    <n v="0"/>
    <m/>
    <n v="84.2"/>
  </r>
  <r>
    <s v="USR-100096"/>
    <d v="2025-02-05T00:00:00"/>
    <x v="0"/>
    <s v="East"/>
    <s v="Mobile"/>
    <s v="Social"/>
    <s v="Free"/>
    <n v="0"/>
    <n v="0"/>
    <n v="0"/>
    <x v="0"/>
    <n v="0"/>
    <n v="0"/>
    <n v="0"/>
    <n v="0"/>
    <m/>
    <n v="68"/>
  </r>
  <r>
    <s v="USR-100097"/>
    <d v="2025-02-14T00:00:00"/>
    <x v="0"/>
    <s v="West"/>
    <s v="Mobile"/>
    <s v="Organic"/>
    <s v="Basic"/>
    <n v="1"/>
    <n v="0"/>
    <n v="0"/>
    <x v="0"/>
    <n v="0"/>
    <n v="0"/>
    <n v="0"/>
    <n v="0"/>
    <m/>
    <n v="53.5"/>
  </r>
  <r>
    <s v="USR-100098"/>
    <d v="2025-02-11T00:00:00"/>
    <x v="0"/>
    <s v="North"/>
    <s v="Desktop"/>
    <s v="Organic"/>
    <s v="Premium"/>
    <n v="1"/>
    <n v="0"/>
    <n v="0"/>
    <x v="0"/>
    <n v="0"/>
    <n v="0"/>
    <n v="0"/>
    <n v="0"/>
    <m/>
    <n v="63.2"/>
  </r>
  <r>
    <s v="USR-100099"/>
    <d v="2025-02-11T00:00:00"/>
    <x v="0"/>
    <s v="East"/>
    <s v="Desktop"/>
    <s v="Social"/>
    <s v="Free"/>
    <n v="1"/>
    <n v="1"/>
    <n v="1"/>
    <x v="1"/>
    <n v="363.32"/>
    <n v="0"/>
    <n v="0"/>
    <n v="0"/>
    <n v="9"/>
    <n v="55.9"/>
  </r>
  <r>
    <s v="USR-100100"/>
    <d v="2025-05-26T00:00:00"/>
    <x v="0"/>
    <s v="North"/>
    <s v="Mobile"/>
    <s v="Organic"/>
    <s v="Free"/>
    <n v="1"/>
    <n v="0"/>
    <n v="0"/>
    <x v="0"/>
    <n v="0"/>
    <n v="0"/>
    <n v="0"/>
    <n v="0"/>
    <m/>
    <n v="63.5"/>
  </r>
  <r>
    <s v="USR-100101"/>
    <d v="2025-03-22T00:00:00"/>
    <x v="0"/>
    <s v="North"/>
    <s v="Mobile"/>
    <s v="Paid Search"/>
    <s v="Basic"/>
    <n v="1"/>
    <n v="0"/>
    <n v="0"/>
    <x v="0"/>
    <n v="0"/>
    <n v="0"/>
    <n v="0"/>
    <n v="0"/>
    <m/>
    <n v="51.5"/>
  </r>
  <r>
    <s v="USR-100102"/>
    <d v="2025-04-08T00:00:00"/>
    <x v="0"/>
    <s v="West"/>
    <s v="Mobile"/>
    <s v="Paid Search"/>
    <s v="Free"/>
    <n v="1"/>
    <n v="0"/>
    <n v="0"/>
    <x v="0"/>
    <n v="0"/>
    <n v="0"/>
    <n v="0"/>
    <n v="0"/>
    <m/>
    <n v="74.400000000000006"/>
  </r>
  <r>
    <s v="USR-100103"/>
    <d v="2025-04-14T00:00:00"/>
    <x v="0"/>
    <s v="North"/>
    <s v="Desktop"/>
    <s v="Social"/>
    <s v="Free"/>
    <n v="1"/>
    <n v="1"/>
    <n v="1"/>
    <x v="1"/>
    <n v="3887.98"/>
    <n v="0"/>
    <n v="0"/>
    <n v="0"/>
    <n v="13"/>
    <n v="60.2"/>
  </r>
  <r>
    <s v="USR-100104"/>
    <d v="2025-03-27T00:00:00"/>
    <x v="0"/>
    <s v="South"/>
    <s v="Mobile"/>
    <s v="Email"/>
    <s v="Free"/>
    <n v="1"/>
    <n v="0"/>
    <n v="0"/>
    <x v="0"/>
    <n v="0"/>
    <n v="1"/>
    <n v="1"/>
    <n v="0"/>
    <m/>
    <n v="67.2"/>
  </r>
  <r>
    <s v="USR-100105"/>
    <d v="2025-01-05T00:00:00"/>
    <x v="0"/>
    <s v="South"/>
    <s v="Mobile"/>
    <s v="Social"/>
    <s v="Free"/>
    <n v="1"/>
    <n v="1"/>
    <n v="1"/>
    <x v="0"/>
    <n v="0"/>
    <n v="0"/>
    <n v="0"/>
    <n v="0"/>
    <m/>
    <n v="79.599999999999994"/>
  </r>
  <r>
    <s v="USR-100106"/>
    <d v="2025-01-25T00:00:00"/>
    <x v="0"/>
    <s v="South"/>
    <s v="Mobile"/>
    <s v="Social"/>
    <s v="Basic"/>
    <n v="1"/>
    <n v="1"/>
    <n v="1"/>
    <x v="1"/>
    <n v="8610.7199999999993"/>
    <n v="0"/>
    <n v="0"/>
    <n v="0"/>
    <n v="6"/>
    <n v="61"/>
  </r>
  <r>
    <s v="USR-100107"/>
    <d v="2025-01-23T00:00:00"/>
    <x v="0"/>
    <s v="West"/>
    <s v="Mobile"/>
    <s v="Email"/>
    <s v="Free"/>
    <n v="1"/>
    <n v="1"/>
    <n v="1"/>
    <x v="0"/>
    <n v="0"/>
    <n v="4"/>
    <n v="1"/>
    <n v="0"/>
    <m/>
    <n v="51.1"/>
  </r>
  <r>
    <s v="USR-100108"/>
    <d v="2025-05-25T00:00:00"/>
    <x v="0"/>
    <s v="East"/>
    <s v="Desktop"/>
    <s v="Referral"/>
    <s v="Free"/>
    <n v="1"/>
    <n v="0"/>
    <n v="0"/>
    <x v="0"/>
    <n v="0"/>
    <n v="0"/>
    <n v="0"/>
    <n v="0"/>
    <m/>
    <n v="92.1"/>
  </r>
  <r>
    <s v="USR-100109"/>
    <d v="2025-03-22T00:00:00"/>
    <x v="0"/>
    <s v="South"/>
    <s v="Mobile"/>
    <s v="Referral"/>
    <s v="Basic"/>
    <n v="0"/>
    <n v="0"/>
    <n v="0"/>
    <x v="0"/>
    <n v="0"/>
    <n v="0"/>
    <n v="0"/>
    <n v="0"/>
    <m/>
    <n v="82.1"/>
  </r>
  <r>
    <s v="USR-100110"/>
    <d v="2025-02-12T00:00:00"/>
    <x v="0"/>
    <s v="West"/>
    <s v="Desktop"/>
    <s v="Paid Search"/>
    <s v="Basic"/>
    <n v="1"/>
    <n v="0"/>
    <n v="0"/>
    <x v="0"/>
    <n v="0"/>
    <n v="1"/>
    <n v="1"/>
    <n v="0"/>
    <m/>
    <n v="74"/>
  </r>
  <r>
    <s v="USR-100111"/>
    <d v="2025-04-28T00:00:00"/>
    <x v="0"/>
    <s v="West"/>
    <s v="Desktop"/>
    <s v="Organic"/>
    <s v="Basic"/>
    <n v="1"/>
    <n v="0"/>
    <n v="0"/>
    <x v="0"/>
    <n v="0"/>
    <n v="0"/>
    <n v="0"/>
    <n v="0"/>
    <m/>
    <n v="63.4"/>
  </r>
  <r>
    <s v="USR-100112"/>
    <d v="2025-01-30T00:00:00"/>
    <x v="0"/>
    <s v="North"/>
    <s v="Mobile"/>
    <s v="Organic"/>
    <s v="Basic"/>
    <n v="1"/>
    <n v="0"/>
    <n v="0"/>
    <x v="0"/>
    <n v="0"/>
    <n v="0"/>
    <n v="0"/>
    <n v="0"/>
    <m/>
    <n v="53.2"/>
  </r>
  <r>
    <s v="USR-100113"/>
    <d v="2025-05-19T00:00:00"/>
    <x v="0"/>
    <s v="East"/>
    <s v="Tablet"/>
    <s v="Paid Search"/>
    <s v="Free"/>
    <n v="0"/>
    <n v="0"/>
    <n v="0"/>
    <x v="0"/>
    <n v="0"/>
    <n v="0"/>
    <n v="0"/>
    <n v="0"/>
    <m/>
    <n v="48.1"/>
  </r>
  <r>
    <s v="USR-100114"/>
    <d v="2025-01-23T00:00:00"/>
    <x v="0"/>
    <s v="South"/>
    <s v="Mobile"/>
    <s v="Social"/>
    <s v="Free"/>
    <n v="1"/>
    <n v="1"/>
    <n v="0"/>
    <x v="0"/>
    <n v="0"/>
    <n v="0"/>
    <n v="0"/>
    <n v="0"/>
    <m/>
    <n v="61.5"/>
  </r>
  <r>
    <s v="USR-100115"/>
    <d v="2025-03-28T00:00:00"/>
    <x v="0"/>
    <s v="East"/>
    <s v="Desktop"/>
    <s v="Social"/>
    <s v="Free"/>
    <n v="1"/>
    <n v="0"/>
    <n v="0"/>
    <x v="0"/>
    <n v="0"/>
    <n v="0"/>
    <n v="0"/>
    <n v="0"/>
    <m/>
    <n v="63.2"/>
  </r>
  <r>
    <s v="USR-100116"/>
    <d v="2025-01-11T00:00:00"/>
    <x v="0"/>
    <s v="West"/>
    <s v="Mobile"/>
    <s v="Organic"/>
    <s v="Free"/>
    <n v="0"/>
    <n v="0"/>
    <n v="0"/>
    <x v="0"/>
    <n v="0"/>
    <n v="0"/>
    <n v="0"/>
    <n v="0"/>
    <m/>
    <n v="71.900000000000006"/>
  </r>
  <r>
    <s v="USR-100117"/>
    <d v="2025-04-11T00:00:00"/>
    <x v="0"/>
    <s v="North"/>
    <s v="Mobile"/>
    <s v="Referral"/>
    <s v="Free"/>
    <n v="0"/>
    <n v="0"/>
    <n v="0"/>
    <x v="0"/>
    <n v="0"/>
    <n v="0"/>
    <n v="0"/>
    <n v="0"/>
    <m/>
    <n v="62.7"/>
  </r>
  <r>
    <s v="USR-100118"/>
    <d v="2025-01-02T00:00:00"/>
    <x v="0"/>
    <s v="West"/>
    <s v="Mobile"/>
    <s v="Paid Search"/>
    <s v="Free"/>
    <n v="1"/>
    <n v="0"/>
    <n v="0"/>
    <x v="0"/>
    <n v="0"/>
    <n v="0"/>
    <n v="0"/>
    <n v="0"/>
    <m/>
    <n v="51.5"/>
  </r>
  <r>
    <s v="USR-100119"/>
    <d v="2025-03-18T00:00:00"/>
    <x v="0"/>
    <s v="East"/>
    <s v="Mobile"/>
    <s v="Social"/>
    <s v="Free"/>
    <n v="1"/>
    <n v="1"/>
    <n v="1"/>
    <x v="0"/>
    <n v="0"/>
    <n v="0"/>
    <n v="0"/>
    <n v="0"/>
    <m/>
    <n v="39.1"/>
  </r>
  <r>
    <s v="USR-100120"/>
    <d v="2025-03-31T00:00:00"/>
    <x v="0"/>
    <s v="North"/>
    <s v="Mobile"/>
    <s v="Email"/>
    <s v="Free"/>
    <n v="1"/>
    <n v="0"/>
    <n v="0"/>
    <x v="0"/>
    <n v="0"/>
    <n v="0"/>
    <n v="0"/>
    <n v="0"/>
    <m/>
    <n v="43.8"/>
  </r>
  <r>
    <s v="USR-100121"/>
    <d v="2025-01-06T00:00:00"/>
    <x v="0"/>
    <s v="North"/>
    <s v="Mobile"/>
    <s v="Paid Search"/>
    <s v="Basic"/>
    <n v="1"/>
    <n v="0"/>
    <n v="0"/>
    <x v="0"/>
    <n v="0"/>
    <n v="0"/>
    <n v="0"/>
    <n v="0"/>
    <m/>
    <n v="59.9"/>
  </r>
  <r>
    <s v="USR-100122"/>
    <d v="2025-01-26T00:00:00"/>
    <x v="0"/>
    <s v="North"/>
    <s v="Mobile"/>
    <s v="Referral"/>
    <s v="Free"/>
    <n v="1"/>
    <n v="1"/>
    <n v="0"/>
    <x v="0"/>
    <n v="0"/>
    <n v="0"/>
    <n v="0"/>
    <n v="0"/>
    <m/>
    <n v="71.400000000000006"/>
  </r>
  <r>
    <s v="USR-100123"/>
    <d v="2025-04-22T00:00:00"/>
    <x v="0"/>
    <s v="South"/>
    <s v="Mobile"/>
    <s v="Referral"/>
    <s v="Basic"/>
    <n v="0"/>
    <n v="0"/>
    <n v="0"/>
    <x v="0"/>
    <n v="0"/>
    <n v="0"/>
    <n v="0"/>
    <n v="0"/>
    <m/>
    <n v="36.1"/>
  </r>
  <r>
    <s v="USR-100124"/>
    <d v="2025-05-30T00:00:00"/>
    <x v="0"/>
    <s v="West"/>
    <m/>
    <s v="Email"/>
    <s v="Basic"/>
    <n v="1"/>
    <n v="1"/>
    <n v="0"/>
    <x v="0"/>
    <n v="0"/>
    <n v="0"/>
    <n v="0"/>
    <n v="0"/>
    <m/>
    <n v="47.9"/>
  </r>
  <r>
    <s v="USR-100125"/>
    <d v="2025-05-18T00:00:00"/>
    <x v="0"/>
    <s v="West"/>
    <s v="Desktop"/>
    <s v="Organic"/>
    <s v="Premium"/>
    <n v="1"/>
    <n v="0"/>
    <n v="0"/>
    <x v="0"/>
    <n v="0"/>
    <n v="0"/>
    <n v="0"/>
    <n v="0"/>
    <m/>
    <n v="62.5"/>
  </r>
  <r>
    <s v="USR-100126"/>
    <d v="2025-01-13T00:00:00"/>
    <x v="0"/>
    <s v="South"/>
    <s v="Desktop"/>
    <s v="Paid Search"/>
    <s v="Premium"/>
    <n v="1"/>
    <n v="0"/>
    <n v="0"/>
    <x v="0"/>
    <n v="0"/>
    <n v="0"/>
    <n v="0"/>
    <n v="0"/>
    <m/>
    <n v="56.9"/>
  </r>
  <r>
    <s v="USR-100127"/>
    <d v="2025-03-25T00:00:00"/>
    <x v="0"/>
    <s v="North"/>
    <s v="Desktop"/>
    <s v="Email"/>
    <s v="Free"/>
    <n v="0"/>
    <n v="0"/>
    <n v="0"/>
    <x v="0"/>
    <n v="0"/>
    <n v="0"/>
    <n v="0"/>
    <n v="0"/>
    <m/>
    <n v="64.7"/>
  </r>
  <r>
    <s v="USR-100128"/>
    <d v="2025-04-29T00:00:00"/>
    <x v="0"/>
    <s v="South"/>
    <s v="Desktop"/>
    <s v="Organic"/>
    <s v="Free"/>
    <n v="1"/>
    <n v="1"/>
    <n v="1"/>
    <x v="0"/>
    <n v="0"/>
    <n v="0"/>
    <n v="0"/>
    <n v="0"/>
    <m/>
    <n v="64"/>
  </r>
  <r>
    <s v="USR-100129"/>
    <d v="2025-05-17T00:00:00"/>
    <x v="0"/>
    <s v="East"/>
    <s v="Mobile"/>
    <s v="Referral"/>
    <s v="Basic"/>
    <n v="1"/>
    <n v="1"/>
    <n v="1"/>
    <x v="0"/>
    <n v="0"/>
    <n v="0"/>
    <n v="0"/>
    <n v="0"/>
    <m/>
    <n v="75.2"/>
  </r>
  <r>
    <s v="USR-100130"/>
    <d v="2025-01-02T00:00:00"/>
    <x v="0"/>
    <s v="North"/>
    <s v="Mobile"/>
    <s v="Paid Search"/>
    <s v="Free"/>
    <n v="1"/>
    <n v="0"/>
    <n v="0"/>
    <x v="0"/>
    <n v="0"/>
    <n v="1"/>
    <n v="1"/>
    <n v="0"/>
    <m/>
    <n v="79"/>
  </r>
  <r>
    <s v="USR-100131"/>
    <d v="2025-02-03T00:00:00"/>
    <x v="0"/>
    <s v="South"/>
    <s v="Mobile"/>
    <s v="Organic"/>
    <s v="Free"/>
    <n v="0"/>
    <n v="0"/>
    <n v="0"/>
    <x v="0"/>
    <n v="0"/>
    <n v="0"/>
    <n v="0"/>
    <n v="0"/>
    <m/>
    <n v="33"/>
  </r>
  <r>
    <s v="USR-100132"/>
    <d v="2025-03-04T00:00:00"/>
    <x v="0"/>
    <s v="East"/>
    <s v="Mobile"/>
    <s v="Organic"/>
    <s v="Free"/>
    <n v="1"/>
    <n v="0"/>
    <n v="0"/>
    <x v="0"/>
    <n v="0"/>
    <n v="0"/>
    <n v="0"/>
    <n v="0"/>
    <m/>
    <n v="67.900000000000006"/>
  </r>
  <r>
    <s v="USR-100133"/>
    <d v="2025-01-26T00:00:00"/>
    <x v="0"/>
    <s v="South"/>
    <s v="Mobile"/>
    <s v="Paid Search"/>
    <s v="Basic"/>
    <n v="0"/>
    <n v="0"/>
    <n v="0"/>
    <x v="0"/>
    <n v="0"/>
    <n v="0"/>
    <n v="0"/>
    <n v="0"/>
    <m/>
    <n v="42.2"/>
  </r>
  <r>
    <s v="USR-100134"/>
    <d v="2025-05-12T00:00:00"/>
    <x v="0"/>
    <s v="West"/>
    <s v="Mobile"/>
    <s v="Paid Search"/>
    <s v="Basic"/>
    <n v="1"/>
    <n v="1"/>
    <n v="1"/>
    <x v="0"/>
    <n v="0"/>
    <n v="0"/>
    <n v="0"/>
    <n v="0"/>
    <m/>
    <n v="43.4"/>
  </r>
  <r>
    <s v="USR-100135"/>
    <d v="2025-03-06T00:00:00"/>
    <x v="0"/>
    <s v="North"/>
    <s v="Mobile"/>
    <s v="Organic"/>
    <s v="Basic"/>
    <n v="0"/>
    <n v="0"/>
    <n v="0"/>
    <x v="0"/>
    <n v="0"/>
    <n v="0"/>
    <n v="0"/>
    <n v="0"/>
    <m/>
    <n v="54.4"/>
  </r>
  <r>
    <s v="USR-100136"/>
    <d v="2025-03-10T00:00:00"/>
    <x v="0"/>
    <s v="South"/>
    <s v="Desktop"/>
    <s v="Email"/>
    <s v="Premium"/>
    <n v="0"/>
    <n v="0"/>
    <n v="0"/>
    <x v="0"/>
    <n v="0"/>
    <n v="0"/>
    <n v="0"/>
    <n v="0"/>
    <m/>
    <n v="45.7"/>
  </r>
  <r>
    <s v="USR-100137"/>
    <d v="2025-05-06T00:00:00"/>
    <x v="0"/>
    <s v="North"/>
    <s v="Mobile"/>
    <s v="Paid Search"/>
    <s v="Free"/>
    <n v="0"/>
    <n v="0"/>
    <n v="0"/>
    <x v="0"/>
    <n v="0"/>
    <n v="3"/>
    <n v="1"/>
    <n v="0"/>
    <m/>
    <n v="32"/>
  </r>
  <r>
    <s v="USR-100138"/>
    <d v="2025-02-23T00:00:00"/>
    <x v="0"/>
    <s v="South"/>
    <s v="Desktop"/>
    <s v="Paid Search"/>
    <s v="Free"/>
    <n v="1"/>
    <n v="0"/>
    <n v="0"/>
    <x v="0"/>
    <n v="0"/>
    <n v="0"/>
    <n v="0"/>
    <n v="0"/>
    <m/>
    <n v="70.900000000000006"/>
  </r>
  <r>
    <s v="USR-100139"/>
    <d v="2025-01-29T00:00:00"/>
    <x v="0"/>
    <s v="West"/>
    <s v="Mobile"/>
    <s v="Social"/>
    <s v="Basic"/>
    <n v="1"/>
    <n v="1"/>
    <n v="1"/>
    <x v="0"/>
    <n v="0"/>
    <n v="0"/>
    <n v="0"/>
    <n v="0"/>
    <m/>
    <n v="59.1"/>
  </r>
  <r>
    <s v="USR-100140"/>
    <d v="2025-01-31T00:00:00"/>
    <x v="0"/>
    <s v="North"/>
    <s v="Mobile"/>
    <s v="Organic"/>
    <s v="Basic"/>
    <n v="0"/>
    <n v="0"/>
    <n v="0"/>
    <x v="0"/>
    <n v="0"/>
    <n v="0"/>
    <n v="0"/>
    <n v="0"/>
    <m/>
    <n v="62.4"/>
  </r>
  <r>
    <s v="USR-100141"/>
    <d v="2025-01-19T00:00:00"/>
    <x v="0"/>
    <s v="South"/>
    <s v="Mobile"/>
    <s v="Organic"/>
    <s v="Free"/>
    <n v="0"/>
    <n v="0"/>
    <n v="0"/>
    <x v="0"/>
    <n v="0"/>
    <n v="0"/>
    <n v="0"/>
    <n v="0"/>
    <m/>
    <n v="49.6"/>
  </r>
  <r>
    <s v="USR-100142"/>
    <d v="2025-04-03T00:00:00"/>
    <x v="0"/>
    <s v="West"/>
    <s v="Desktop"/>
    <s v="Social"/>
    <s v="Free"/>
    <n v="1"/>
    <n v="1"/>
    <n v="1"/>
    <x v="1"/>
    <n v="404.4"/>
    <n v="0"/>
    <n v="0"/>
    <n v="0"/>
    <n v="9"/>
    <n v="80.599999999999994"/>
  </r>
  <r>
    <s v="USR-100143"/>
    <d v="2025-04-07T00:00:00"/>
    <x v="0"/>
    <s v="North"/>
    <s v="Mobile"/>
    <s v="Paid Search"/>
    <s v="Free"/>
    <n v="1"/>
    <n v="0"/>
    <n v="0"/>
    <x v="0"/>
    <n v="0"/>
    <n v="0"/>
    <n v="0"/>
    <n v="0"/>
    <m/>
    <n v="47.9"/>
  </r>
  <r>
    <s v="USR-100144"/>
    <d v="2025-01-06T00:00:00"/>
    <x v="0"/>
    <s v="East"/>
    <s v="Mobile"/>
    <s v="Paid Search"/>
    <s v="Basic"/>
    <n v="1"/>
    <n v="1"/>
    <n v="0"/>
    <x v="0"/>
    <n v="0"/>
    <n v="0"/>
    <n v="0"/>
    <n v="0"/>
    <m/>
    <n v="54.8"/>
  </r>
  <r>
    <s v="USR-100145"/>
    <d v="2025-04-11T00:00:00"/>
    <x v="0"/>
    <s v="East"/>
    <s v="Mobile"/>
    <s v="Organic"/>
    <s v="Free"/>
    <n v="1"/>
    <n v="0"/>
    <n v="0"/>
    <x v="0"/>
    <n v="0"/>
    <n v="1"/>
    <n v="1"/>
    <n v="0"/>
    <m/>
    <n v="53.9"/>
  </r>
  <r>
    <s v="USR-100146"/>
    <d v="2025-04-23T00:00:00"/>
    <x v="0"/>
    <s v="East"/>
    <s v="Mobile"/>
    <s v="Paid Search"/>
    <s v="Free"/>
    <n v="1"/>
    <n v="0"/>
    <n v="0"/>
    <x v="0"/>
    <n v="0"/>
    <n v="0"/>
    <n v="0"/>
    <n v="0"/>
    <m/>
    <n v="41.3"/>
  </r>
  <r>
    <s v="USR-100147"/>
    <d v="2025-03-25T00:00:00"/>
    <x v="0"/>
    <s v="West"/>
    <s v="Mobile"/>
    <s v="Organic"/>
    <s v="Basic"/>
    <n v="1"/>
    <n v="1"/>
    <n v="0"/>
    <x v="0"/>
    <n v="0"/>
    <n v="0"/>
    <n v="0"/>
    <n v="0"/>
    <m/>
    <n v="38.9"/>
  </r>
  <r>
    <s v="USR-100148"/>
    <d v="2025-05-25T00:00:00"/>
    <x v="0"/>
    <s v="South"/>
    <s v="Desktop"/>
    <s v="Organic"/>
    <s v="Basic"/>
    <n v="1"/>
    <n v="0"/>
    <n v="0"/>
    <x v="0"/>
    <n v="0"/>
    <n v="0"/>
    <n v="0"/>
    <n v="0"/>
    <m/>
    <n v="63.6"/>
  </r>
  <r>
    <s v="USR-100149"/>
    <d v="2025-01-28T00:00:00"/>
    <x v="0"/>
    <s v="North"/>
    <s v="Mobile"/>
    <s v="Organic"/>
    <s v="Free"/>
    <n v="1"/>
    <n v="1"/>
    <n v="1"/>
    <x v="1"/>
    <n v="577.94000000000005"/>
    <n v="0"/>
    <n v="0"/>
    <n v="0"/>
    <n v="9"/>
    <n v="76.599999999999994"/>
  </r>
  <r>
    <s v="USR-100150"/>
    <d v="2025-02-12T00:00:00"/>
    <x v="0"/>
    <s v="West"/>
    <s v="Mobile"/>
    <s v="Paid Search"/>
    <s v="Premium"/>
    <n v="0"/>
    <n v="0"/>
    <n v="0"/>
    <x v="0"/>
    <n v="0"/>
    <n v="1"/>
    <n v="1"/>
    <n v="0"/>
    <m/>
    <n v="67.599999999999994"/>
  </r>
  <r>
    <s v="USR-100151"/>
    <d v="2025-04-29T00:00:00"/>
    <x v="0"/>
    <s v="North"/>
    <s v="Mobile"/>
    <s v="Social"/>
    <s v="Premium"/>
    <n v="1"/>
    <n v="0"/>
    <n v="0"/>
    <x v="0"/>
    <n v="0"/>
    <n v="0"/>
    <n v="0"/>
    <n v="0"/>
    <m/>
    <n v="43.1"/>
  </r>
  <r>
    <s v="USR-100152"/>
    <d v="2025-03-13T00:00:00"/>
    <x v="0"/>
    <s v="South"/>
    <s v="Mobile"/>
    <s v="Email"/>
    <s v="Free"/>
    <n v="1"/>
    <n v="0"/>
    <n v="0"/>
    <x v="0"/>
    <n v="0"/>
    <n v="0"/>
    <n v="0"/>
    <n v="0"/>
    <m/>
    <n v="58.3"/>
  </r>
  <r>
    <s v="USR-100153"/>
    <d v="2025-02-04T00:00:00"/>
    <x v="0"/>
    <s v="East"/>
    <s v="Desktop"/>
    <s v="Paid Search"/>
    <s v="Free"/>
    <n v="1"/>
    <n v="0"/>
    <n v="0"/>
    <x v="0"/>
    <n v="0"/>
    <n v="0"/>
    <n v="0"/>
    <n v="0"/>
    <m/>
    <n v="69.8"/>
  </r>
  <r>
    <s v="USR-100154"/>
    <d v="2025-03-04T00:00:00"/>
    <x v="0"/>
    <s v="South"/>
    <s v="Mobile"/>
    <s v="Referral"/>
    <s v="Free"/>
    <n v="1"/>
    <n v="1"/>
    <n v="0"/>
    <x v="0"/>
    <n v="0"/>
    <n v="0"/>
    <n v="0"/>
    <n v="0"/>
    <m/>
    <m/>
  </r>
  <r>
    <s v="USR-100155"/>
    <d v="2025-02-04T00:00:00"/>
    <x v="0"/>
    <s v="West"/>
    <s v="Mobile"/>
    <s v="Paid Search"/>
    <s v="Basic"/>
    <n v="1"/>
    <n v="1"/>
    <n v="0"/>
    <x v="0"/>
    <n v="0"/>
    <n v="0"/>
    <n v="0"/>
    <n v="0"/>
    <m/>
    <n v="41.9"/>
  </r>
  <r>
    <s v="USR-100156"/>
    <d v="2025-03-11T00:00:00"/>
    <x v="0"/>
    <s v="North"/>
    <s v="Desktop"/>
    <s v="Organic"/>
    <s v="Free"/>
    <n v="0"/>
    <n v="0"/>
    <n v="0"/>
    <x v="0"/>
    <n v="0"/>
    <n v="0"/>
    <n v="0"/>
    <n v="0"/>
    <m/>
    <n v="33.1"/>
  </r>
  <r>
    <s v="USR-100157"/>
    <d v="2025-04-22T00:00:00"/>
    <x v="0"/>
    <s v="West"/>
    <s v="Mobile"/>
    <s v="Organic"/>
    <s v="Free"/>
    <n v="0"/>
    <n v="0"/>
    <n v="0"/>
    <x v="0"/>
    <n v="0"/>
    <n v="0"/>
    <n v="0"/>
    <n v="0"/>
    <m/>
    <n v="58.6"/>
  </r>
  <r>
    <s v="USR-100158"/>
    <d v="2025-03-08T00:00:00"/>
    <x v="0"/>
    <s v="North"/>
    <s v="Desktop"/>
    <s v="Paid Search"/>
    <s v="Free"/>
    <n v="0"/>
    <n v="0"/>
    <n v="0"/>
    <x v="0"/>
    <n v="0"/>
    <n v="0"/>
    <n v="0"/>
    <n v="0"/>
    <m/>
    <n v="55.7"/>
  </r>
  <r>
    <s v="USR-100159"/>
    <d v="2025-03-10T00:00:00"/>
    <x v="0"/>
    <s v="East"/>
    <s v="Mobile"/>
    <s v="Organic"/>
    <s v="Free"/>
    <n v="0"/>
    <n v="0"/>
    <n v="0"/>
    <x v="0"/>
    <n v="0"/>
    <n v="2"/>
    <n v="1"/>
    <n v="0"/>
    <m/>
    <n v="64.900000000000006"/>
  </r>
  <r>
    <s v="USR-100160"/>
    <d v="2025-05-18T00:00:00"/>
    <x v="0"/>
    <s v="North"/>
    <s v="Desktop"/>
    <s v="Paid Search"/>
    <s v="Basic"/>
    <n v="0"/>
    <n v="0"/>
    <n v="0"/>
    <x v="0"/>
    <n v="0"/>
    <n v="0"/>
    <n v="0"/>
    <n v="0"/>
    <m/>
    <n v="72.3"/>
  </r>
  <r>
    <s v="USR-100161"/>
    <d v="2025-05-14T00:00:00"/>
    <x v="0"/>
    <s v="North"/>
    <s v="Mobile"/>
    <s v="Social"/>
    <s v="Basic"/>
    <n v="0"/>
    <n v="0"/>
    <n v="0"/>
    <x v="0"/>
    <n v="0"/>
    <n v="0"/>
    <n v="0"/>
    <n v="0"/>
    <m/>
    <n v="42.1"/>
  </r>
  <r>
    <s v="USR-100162"/>
    <d v="2025-02-01T00:00:00"/>
    <x v="0"/>
    <s v="North"/>
    <s v="Mobile"/>
    <s v="Organic"/>
    <s v="Free"/>
    <n v="0"/>
    <n v="0"/>
    <n v="0"/>
    <x v="0"/>
    <n v="0"/>
    <n v="0"/>
    <n v="0"/>
    <n v="0"/>
    <m/>
    <m/>
  </r>
  <r>
    <s v="USR-100163"/>
    <d v="2025-04-11T00:00:00"/>
    <x v="0"/>
    <s v="South"/>
    <s v="Mobile"/>
    <s v="Organic"/>
    <s v="Basic"/>
    <n v="0"/>
    <n v="0"/>
    <n v="0"/>
    <x v="0"/>
    <n v="0"/>
    <n v="1"/>
    <n v="1"/>
    <n v="0"/>
    <m/>
    <n v="64.8"/>
  </r>
  <r>
    <s v="USR-100164"/>
    <d v="2025-02-14T00:00:00"/>
    <x v="0"/>
    <s v="East"/>
    <s v="Mobile"/>
    <s v="Organic"/>
    <s v="Free"/>
    <n v="0"/>
    <n v="0"/>
    <n v="0"/>
    <x v="0"/>
    <n v="0"/>
    <n v="0"/>
    <n v="0"/>
    <n v="0"/>
    <m/>
    <n v="72.099999999999994"/>
  </r>
  <r>
    <s v="USR-100165"/>
    <d v="2025-05-19T00:00:00"/>
    <x v="0"/>
    <s v="East"/>
    <s v="Mobile"/>
    <s v="Social"/>
    <s v="Free"/>
    <n v="1"/>
    <n v="0"/>
    <n v="0"/>
    <x v="0"/>
    <n v="0"/>
    <n v="0"/>
    <n v="0"/>
    <n v="0"/>
    <m/>
    <n v="50.6"/>
  </r>
  <r>
    <s v="USR-100166"/>
    <d v="2025-04-26T00:00:00"/>
    <x v="0"/>
    <s v="North"/>
    <s v="Desktop"/>
    <s v="Paid Search"/>
    <s v="Basic"/>
    <n v="1"/>
    <n v="1"/>
    <n v="1"/>
    <x v="1"/>
    <n v="1281.25"/>
    <n v="1"/>
    <n v="1"/>
    <n v="0"/>
    <n v="9"/>
    <n v="43.4"/>
  </r>
  <r>
    <s v="USR-100167"/>
    <d v="2025-04-06T00:00:00"/>
    <x v="0"/>
    <s v="South"/>
    <s v="Mobile"/>
    <s v="Social"/>
    <s v="Free"/>
    <n v="1"/>
    <n v="0"/>
    <n v="0"/>
    <x v="0"/>
    <n v="0"/>
    <n v="0"/>
    <n v="0"/>
    <n v="0"/>
    <m/>
    <n v="59.7"/>
  </r>
  <r>
    <s v="USR-100168"/>
    <d v="2025-03-06T00:00:00"/>
    <x v="0"/>
    <s v="South"/>
    <s v="Mobile"/>
    <s v="Paid Search"/>
    <s v="Free"/>
    <n v="1"/>
    <n v="0"/>
    <n v="0"/>
    <x v="0"/>
    <n v="0"/>
    <n v="1"/>
    <n v="1"/>
    <n v="0"/>
    <m/>
    <m/>
  </r>
  <r>
    <s v="USR-100169"/>
    <d v="2025-03-10T00:00:00"/>
    <x v="0"/>
    <s v="West"/>
    <s v="Mobile"/>
    <s v="Social"/>
    <s v="Basic"/>
    <n v="0"/>
    <n v="0"/>
    <n v="0"/>
    <x v="0"/>
    <n v="0"/>
    <n v="0"/>
    <n v="0"/>
    <n v="0"/>
    <m/>
    <n v="54.5"/>
  </r>
  <r>
    <s v="USR-100170"/>
    <d v="2025-03-30T00:00:00"/>
    <x v="0"/>
    <s v="North"/>
    <s v="Mobile"/>
    <s v="Organic"/>
    <s v="Free"/>
    <n v="1"/>
    <n v="0"/>
    <n v="0"/>
    <x v="0"/>
    <n v="0"/>
    <n v="0"/>
    <n v="0"/>
    <n v="0"/>
    <m/>
    <n v="71.099999999999994"/>
  </r>
  <r>
    <s v="USR-100171"/>
    <d v="2025-05-29T00:00:00"/>
    <x v="0"/>
    <s v="East"/>
    <m/>
    <s v="Paid Search"/>
    <s v="Free"/>
    <n v="1"/>
    <n v="1"/>
    <n v="1"/>
    <x v="0"/>
    <n v="0"/>
    <n v="0"/>
    <n v="0"/>
    <n v="0"/>
    <m/>
    <n v="44.4"/>
  </r>
  <r>
    <s v="USR-100172"/>
    <d v="2025-03-23T00:00:00"/>
    <x v="0"/>
    <s v="North"/>
    <s v="Mobile"/>
    <s v="Organic"/>
    <s v="Free"/>
    <n v="1"/>
    <n v="0"/>
    <n v="0"/>
    <x v="0"/>
    <n v="0"/>
    <n v="0"/>
    <n v="0"/>
    <n v="0"/>
    <m/>
    <n v="61.7"/>
  </r>
  <r>
    <s v="USR-100173"/>
    <d v="2025-02-18T00:00:00"/>
    <x v="0"/>
    <s v="North"/>
    <s v="Tablet"/>
    <s v="Organic"/>
    <s v="Basic"/>
    <n v="0"/>
    <n v="0"/>
    <n v="0"/>
    <x v="0"/>
    <n v="0"/>
    <n v="1"/>
    <n v="1"/>
    <n v="0"/>
    <m/>
    <n v="81.3"/>
  </r>
  <r>
    <s v="USR-100174"/>
    <d v="2025-01-26T00:00:00"/>
    <x v="0"/>
    <s v="North"/>
    <s v="Desktop"/>
    <s v="Email"/>
    <s v="Free"/>
    <n v="1"/>
    <n v="0"/>
    <n v="0"/>
    <x v="0"/>
    <n v="0"/>
    <n v="2"/>
    <n v="1"/>
    <n v="0"/>
    <m/>
    <n v="28.7"/>
  </r>
  <r>
    <s v="USR-100175"/>
    <d v="2025-04-23T00:00:00"/>
    <x v="0"/>
    <s v="East"/>
    <s v="Mobile"/>
    <s v="Social"/>
    <s v="Basic"/>
    <n v="0"/>
    <n v="0"/>
    <n v="0"/>
    <x v="0"/>
    <n v="0"/>
    <n v="0"/>
    <n v="0"/>
    <n v="0"/>
    <m/>
    <n v="53"/>
  </r>
  <r>
    <s v="USR-100176"/>
    <d v="2025-03-16T00:00:00"/>
    <x v="0"/>
    <s v="South"/>
    <s v="Tablet"/>
    <s v="Referral"/>
    <s v="Basic"/>
    <n v="1"/>
    <n v="0"/>
    <n v="0"/>
    <x v="0"/>
    <n v="0"/>
    <n v="0"/>
    <n v="0"/>
    <n v="0"/>
    <m/>
    <n v="54.9"/>
  </r>
  <r>
    <s v="USR-100177"/>
    <d v="2025-04-29T00:00:00"/>
    <x v="0"/>
    <s v="West"/>
    <s v="Mobile"/>
    <s v="Organic"/>
    <s v="Basic"/>
    <n v="1"/>
    <n v="0"/>
    <n v="0"/>
    <x v="0"/>
    <n v="0"/>
    <n v="0"/>
    <n v="0"/>
    <n v="0"/>
    <m/>
    <n v="58.2"/>
  </r>
  <r>
    <s v="USR-100178"/>
    <d v="2025-04-06T00:00:00"/>
    <x v="0"/>
    <s v="North"/>
    <s v="Mobile"/>
    <s v="Organic"/>
    <s v="Free"/>
    <n v="0"/>
    <n v="0"/>
    <n v="0"/>
    <x v="0"/>
    <n v="0"/>
    <n v="0"/>
    <n v="0"/>
    <n v="0"/>
    <m/>
    <n v="80.599999999999994"/>
  </r>
  <r>
    <s v="USR-100179"/>
    <d v="2025-04-17T00:00:00"/>
    <x v="0"/>
    <s v="North"/>
    <s v="Desktop"/>
    <s v="Referral"/>
    <s v="Premium"/>
    <n v="1"/>
    <n v="1"/>
    <n v="1"/>
    <x v="0"/>
    <n v="0"/>
    <n v="0"/>
    <n v="0"/>
    <n v="0"/>
    <m/>
    <n v="38.4"/>
  </r>
  <r>
    <s v="USR-100180"/>
    <d v="2025-04-03T00:00:00"/>
    <x v="0"/>
    <s v="South"/>
    <s v="Mobile"/>
    <s v="Paid Search"/>
    <s v="Free"/>
    <n v="1"/>
    <n v="0"/>
    <n v="0"/>
    <x v="0"/>
    <n v="0"/>
    <n v="0"/>
    <n v="0"/>
    <n v="0"/>
    <m/>
    <n v="56.1"/>
  </r>
  <r>
    <s v="USR-100181"/>
    <d v="2025-04-25T00:00:00"/>
    <x v="0"/>
    <s v="West"/>
    <s v="Mobile"/>
    <s v="Paid Search"/>
    <s v="Free"/>
    <n v="0"/>
    <n v="0"/>
    <n v="0"/>
    <x v="0"/>
    <n v="0"/>
    <n v="0"/>
    <n v="0"/>
    <n v="0"/>
    <m/>
    <n v="62.6"/>
  </r>
  <r>
    <s v="USR-100182"/>
    <d v="2025-04-30T00:00:00"/>
    <x v="0"/>
    <s v="South"/>
    <s v="Mobile"/>
    <s v="Organic"/>
    <s v="Premium"/>
    <n v="0"/>
    <n v="0"/>
    <n v="0"/>
    <x v="0"/>
    <n v="0"/>
    <n v="0"/>
    <n v="0"/>
    <n v="0"/>
    <m/>
    <n v="36.299999999999997"/>
  </r>
  <r>
    <s v="USR-100183"/>
    <d v="2025-03-12T00:00:00"/>
    <x v="0"/>
    <s v="South"/>
    <s v="Mobile"/>
    <s v="Paid Search"/>
    <s v="Free"/>
    <n v="1"/>
    <n v="0"/>
    <n v="0"/>
    <x v="0"/>
    <n v="0"/>
    <n v="0"/>
    <n v="0"/>
    <n v="0"/>
    <m/>
    <n v="52.1"/>
  </r>
  <r>
    <s v="USR-100184"/>
    <d v="2025-05-04T00:00:00"/>
    <x v="0"/>
    <s v="South"/>
    <s v="Mobile"/>
    <s v="Organic"/>
    <s v="Free"/>
    <n v="1"/>
    <n v="0"/>
    <n v="0"/>
    <x v="0"/>
    <n v="0"/>
    <n v="0"/>
    <n v="0"/>
    <n v="0"/>
    <m/>
    <n v="45.1"/>
  </r>
  <r>
    <s v="USR-100185"/>
    <d v="2025-02-07T00:00:00"/>
    <x v="0"/>
    <s v="South"/>
    <s v="Tablet"/>
    <s v="Paid Search"/>
    <s v="Premium"/>
    <n v="0"/>
    <n v="0"/>
    <n v="0"/>
    <x v="0"/>
    <n v="0"/>
    <n v="0"/>
    <n v="0"/>
    <n v="0"/>
    <m/>
    <n v="67.5"/>
  </r>
  <r>
    <s v="USR-100186"/>
    <d v="2025-04-28T00:00:00"/>
    <x v="0"/>
    <s v="East"/>
    <s v="Tablet"/>
    <s v="Email"/>
    <s v="Basic"/>
    <n v="1"/>
    <n v="1"/>
    <n v="1"/>
    <x v="0"/>
    <n v="0"/>
    <n v="0"/>
    <n v="0"/>
    <n v="0"/>
    <m/>
    <n v="80"/>
  </r>
  <r>
    <s v="USR-100187"/>
    <d v="2025-05-15T00:00:00"/>
    <x v="0"/>
    <s v="East"/>
    <s v="Desktop"/>
    <s v="Referral"/>
    <s v="Free"/>
    <n v="0"/>
    <n v="0"/>
    <n v="0"/>
    <x v="0"/>
    <n v="0"/>
    <n v="0"/>
    <n v="0"/>
    <n v="0"/>
    <m/>
    <n v="56.4"/>
  </r>
  <r>
    <s v="USR-100188"/>
    <d v="2025-01-18T00:00:00"/>
    <x v="0"/>
    <s v="West"/>
    <s v="Mobile"/>
    <s v="Paid Search"/>
    <s v="Basic"/>
    <n v="0"/>
    <n v="0"/>
    <n v="0"/>
    <x v="0"/>
    <n v="0"/>
    <n v="0"/>
    <n v="0"/>
    <n v="0"/>
    <m/>
    <n v="55.4"/>
  </r>
  <r>
    <s v="USR-100189"/>
    <d v="2025-02-15T00:00:00"/>
    <x v="0"/>
    <s v="South"/>
    <s v="Mobile"/>
    <s v="Social"/>
    <s v="Basic"/>
    <n v="1"/>
    <n v="0"/>
    <n v="0"/>
    <x v="0"/>
    <n v="0"/>
    <n v="0"/>
    <n v="0"/>
    <n v="0"/>
    <m/>
    <n v="67.900000000000006"/>
  </r>
  <r>
    <s v="USR-100190"/>
    <d v="2025-02-18T00:00:00"/>
    <x v="0"/>
    <s v="North"/>
    <s v="Tablet"/>
    <s v="Email"/>
    <s v="Free"/>
    <n v="1"/>
    <n v="0"/>
    <n v="0"/>
    <x v="0"/>
    <n v="0"/>
    <n v="0"/>
    <n v="0"/>
    <n v="0"/>
    <m/>
    <n v="62.5"/>
  </r>
  <r>
    <s v="USR-100191"/>
    <d v="2025-01-30T00:00:00"/>
    <x v="0"/>
    <s v="South"/>
    <s v="Desktop"/>
    <s v="Email"/>
    <s v="Basic"/>
    <n v="1"/>
    <n v="1"/>
    <n v="1"/>
    <x v="0"/>
    <n v="0"/>
    <n v="0"/>
    <n v="0"/>
    <n v="0"/>
    <m/>
    <n v="54.3"/>
  </r>
  <r>
    <s v="USR-100192"/>
    <d v="2025-02-09T00:00:00"/>
    <x v="0"/>
    <s v="South"/>
    <s v="Desktop"/>
    <s v="Organic"/>
    <s v="Basic"/>
    <n v="1"/>
    <n v="0"/>
    <n v="0"/>
    <x v="0"/>
    <n v="0"/>
    <n v="0"/>
    <n v="0"/>
    <n v="0"/>
    <m/>
    <n v="37.5"/>
  </r>
  <r>
    <s v="USR-100193"/>
    <d v="2025-03-16T00:00:00"/>
    <x v="0"/>
    <s v="West"/>
    <s v="Mobile"/>
    <s v="Paid Search"/>
    <s v="Basic"/>
    <n v="1"/>
    <n v="0"/>
    <n v="0"/>
    <x v="0"/>
    <n v="0"/>
    <n v="0"/>
    <n v="0"/>
    <n v="0"/>
    <m/>
    <n v="52.6"/>
  </r>
  <r>
    <s v="USR-100194"/>
    <d v="2025-05-19T00:00:00"/>
    <x v="0"/>
    <s v="North"/>
    <s v="Mobile"/>
    <s v="Paid Search"/>
    <s v="Free"/>
    <n v="1"/>
    <n v="0"/>
    <n v="0"/>
    <x v="0"/>
    <n v="0"/>
    <n v="0"/>
    <n v="0"/>
    <n v="0"/>
    <m/>
    <n v="46.1"/>
  </r>
  <r>
    <s v="USR-100195"/>
    <d v="2025-05-16T00:00:00"/>
    <x v="0"/>
    <s v="South"/>
    <s v="Desktop"/>
    <s v="Organic"/>
    <s v="Basic"/>
    <n v="1"/>
    <n v="0"/>
    <n v="0"/>
    <x v="0"/>
    <n v="0"/>
    <n v="0"/>
    <n v="0"/>
    <n v="0"/>
    <m/>
    <n v="54.7"/>
  </r>
  <r>
    <s v="USR-100196"/>
    <d v="2025-04-25T00:00:00"/>
    <x v="0"/>
    <s v="West"/>
    <s v="Desktop"/>
    <s v="Referral"/>
    <s v="Basic"/>
    <n v="0"/>
    <n v="0"/>
    <n v="0"/>
    <x v="0"/>
    <n v="0"/>
    <n v="0"/>
    <n v="0"/>
    <n v="0"/>
    <m/>
    <n v="74.2"/>
  </r>
  <r>
    <s v="USR-100197"/>
    <d v="2025-02-27T00:00:00"/>
    <x v="0"/>
    <s v="North"/>
    <s v="Mobile"/>
    <s v="Social"/>
    <s v="Basic"/>
    <n v="1"/>
    <n v="1"/>
    <n v="1"/>
    <x v="1"/>
    <n v="1052.8"/>
    <n v="2"/>
    <n v="1"/>
    <n v="0"/>
    <n v="6"/>
    <n v="64.7"/>
  </r>
  <r>
    <s v="USR-100198"/>
    <d v="2025-04-26T00:00:00"/>
    <x v="0"/>
    <s v="South"/>
    <s v="Mobile"/>
    <s v="Paid Search"/>
    <s v="Basic"/>
    <n v="0"/>
    <n v="0"/>
    <n v="0"/>
    <x v="0"/>
    <n v="0"/>
    <n v="0"/>
    <n v="0"/>
    <n v="0"/>
    <m/>
    <n v="65.900000000000006"/>
  </r>
  <r>
    <s v="USR-100199"/>
    <d v="2025-05-14T00:00:00"/>
    <x v="0"/>
    <s v="North"/>
    <s v="Mobile"/>
    <s v="Organic"/>
    <s v="Basic"/>
    <n v="1"/>
    <n v="0"/>
    <n v="0"/>
    <x v="0"/>
    <n v="0"/>
    <n v="0"/>
    <n v="0"/>
    <n v="0"/>
    <m/>
    <n v="64"/>
  </r>
  <r>
    <s v="USR-100200"/>
    <d v="2025-03-05T00:00:00"/>
    <x v="0"/>
    <s v="North"/>
    <s v="Mobile"/>
    <s v="Organic"/>
    <s v="Premium"/>
    <n v="1"/>
    <n v="0"/>
    <n v="0"/>
    <x v="0"/>
    <n v="0"/>
    <n v="0"/>
    <n v="0"/>
    <n v="0"/>
    <m/>
    <n v="57.2"/>
  </r>
  <r>
    <s v="USR-100201"/>
    <d v="2025-04-02T00:00:00"/>
    <x v="0"/>
    <s v="West"/>
    <s v="Desktop"/>
    <s v="Organic"/>
    <s v="Free"/>
    <n v="1"/>
    <n v="0"/>
    <n v="0"/>
    <x v="0"/>
    <n v="0"/>
    <n v="0"/>
    <n v="0"/>
    <n v="0"/>
    <m/>
    <n v="80.5"/>
  </r>
  <r>
    <s v="USR-100202"/>
    <d v="2025-05-14T00:00:00"/>
    <x v="0"/>
    <s v="South"/>
    <s v="Tablet"/>
    <s v="Organic"/>
    <s v="Free"/>
    <n v="0"/>
    <n v="0"/>
    <n v="0"/>
    <x v="0"/>
    <n v="0"/>
    <n v="0"/>
    <n v="0"/>
    <n v="0"/>
    <m/>
    <n v="53.9"/>
  </r>
  <r>
    <s v="USR-100203"/>
    <d v="2025-05-21T00:00:00"/>
    <x v="0"/>
    <s v="North"/>
    <s v="Mobile"/>
    <s v="Paid Search"/>
    <s v="Free"/>
    <n v="1"/>
    <n v="1"/>
    <n v="0"/>
    <x v="0"/>
    <n v="0"/>
    <n v="0"/>
    <n v="0"/>
    <n v="0"/>
    <m/>
    <n v="77.5"/>
  </r>
  <r>
    <s v="USR-100204"/>
    <d v="2025-01-27T00:00:00"/>
    <x v="0"/>
    <s v="East"/>
    <s v="Mobile"/>
    <s v="Social"/>
    <s v="Basic"/>
    <n v="0"/>
    <n v="0"/>
    <n v="0"/>
    <x v="0"/>
    <n v="0"/>
    <n v="0"/>
    <n v="0"/>
    <n v="0"/>
    <m/>
    <n v="84.2"/>
  </r>
  <r>
    <s v="USR-100205"/>
    <d v="2025-05-22T00:00:00"/>
    <x v="0"/>
    <s v="West"/>
    <s v="Desktop"/>
    <s v="Organic"/>
    <s v="Free"/>
    <n v="1"/>
    <n v="1"/>
    <n v="0"/>
    <x v="0"/>
    <n v="0"/>
    <n v="0"/>
    <n v="0"/>
    <n v="0"/>
    <m/>
    <n v="54.9"/>
  </r>
  <r>
    <s v="USR-100206"/>
    <d v="2025-05-19T00:00:00"/>
    <x v="0"/>
    <s v="South"/>
    <s v="Mobile"/>
    <s v="Paid Search"/>
    <s v="Free"/>
    <n v="0"/>
    <n v="0"/>
    <n v="0"/>
    <x v="0"/>
    <n v="0"/>
    <n v="0"/>
    <n v="0"/>
    <n v="0"/>
    <m/>
    <n v="69.3"/>
  </r>
  <r>
    <s v="USR-100207"/>
    <d v="2025-01-14T00:00:00"/>
    <x v="0"/>
    <s v="South"/>
    <s v="Desktop"/>
    <s v="Paid Search"/>
    <s v="Free"/>
    <n v="1"/>
    <n v="0"/>
    <n v="0"/>
    <x v="0"/>
    <n v="0"/>
    <n v="2"/>
    <n v="1"/>
    <n v="0"/>
    <m/>
    <n v="42.3"/>
  </r>
  <r>
    <s v="USR-100208"/>
    <d v="2025-01-21T00:00:00"/>
    <x v="0"/>
    <s v="North"/>
    <s v="Desktop"/>
    <s v="Referral"/>
    <s v="Premium"/>
    <n v="1"/>
    <n v="0"/>
    <n v="0"/>
    <x v="0"/>
    <n v="0"/>
    <n v="1"/>
    <n v="1"/>
    <n v="0"/>
    <m/>
    <n v="69.599999999999994"/>
  </r>
  <r>
    <s v="USR-100209"/>
    <d v="2025-05-16T00:00:00"/>
    <x v="0"/>
    <s v="East"/>
    <s v="Mobile"/>
    <s v="Organic"/>
    <s v="Free"/>
    <n v="0"/>
    <n v="0"/>
    <n v="0"/>
    <x v="0"/>
    <n v="0"/>
    <n v="0"/>
    <n v="0"/>
    <n v="0"/>
    <m/>
    <n v="40.700000000000003"/>
  </r>
  <r>
    <s v="USR-100210"/>
    <d v="2025-02-02T00:00:00"/>
    <x v="0"/>
    <s v="North"/>
    <s v="Mobile"/>
    <s v="Email"/>
    <s v="Free"/>
    <n v="1"/>
    <n v="0"/>
    <n v="0"/>
    <x v="0"/>
    <n v="0"/>
    <n v="0"/>
    <n v="0"/>
    <n v="0"/>
    <m/>
    <n v="54"/>
  </r>
  <r>
    <s v="USR-100211"/>
    <d v="2025-03-23T00:00:00"/>
    <x v="0"/>
    <s v="East"/>
    <m/>
    <s v="Referral"/>
    <s v="Free"/>
    <n v="1"/>
    <n v="1"/>
    <n v="1"/>
    <x v="1"/>
    <n v="553.37"/>
    <n v="0"/>
    <n v="0"/>
    <n v="0"/>
    <n v="5"/>
    <n v="46.3"/>
  </r>
  <r>
    <s v="USR-100212"/>
    <d v="2025-01-24T00:00:00"/>
    <x v="0"/>
    <s v="East"/>
    <s v="Mobile"/>
    <s v="Organic"/>
    <s v="Free"/>
    <n v="1"/>
    <n v="0"/>
    <n v="0"/>
    <x v="0"/>
    <n v="0"/>
    <n v="0"/>
    <n v="0"/>
    <n v="0"/>
    <m/>
    <n v="64.2"/>
  </r>
  <r>
    <s v="USR-100213"/>
    <d v="2025-04-12T00:00:00"/>
    <x v="0"/>
    <s v="North"/>
    <s v="Desktop"/>
    <s v="Organic"/>
    <s v="Free"/>
    <n v="1"/>
    <n v="0"/>
    <n v="0"/>
    <x v="0"/>
    <n v="0"/>
    <n v="0"/>
    <n v="0"/>
    <n v="0"/>
    <m/>
    <n v="75.2"/>
  </r>
  <r>
    <s v="USR-100214"/>
    <d v="2025-02-18T00:00:00"/>
    <x v="0"/>
    <s v="East"/>
    <s v="Desktop"/>
    <s v="Paid Search"/>
    <s v="Free"/>
    <n v="1"/>
    <n v="1"/>
    <n v="0"/>
    <x v="0"/>
    <n v="0"/>
    <n v="0"/>
    <n v="0"/>
    <n v="0"/>
    <m/>
    <n v="60.9"/>
  </r>
  <r>
    <s v="USR-100215"/>
    <d v="2025-05-28T00:00:00"/>
    <x v="0"/>
    <s v="South"/>
    <s v="Mobile"/>
    <s v="Email"/>
    <s v="Basic"/>
    <n v="1"/>
    <n v="1"/>
    <n v="1"/>
    <x v="0"/>
    <n v="0"/>
    <n v="0"/>
    <n v="0"/>
    <n v="0"/>
    <m/>
    <n v="62.1"/>
  </r>
  <r>
    <s v="USR-100216"/>
    <d v="2025-04-18T00:00:00"/>
    <x v="0"/>
    <s v="South"/>
    <s v="Mobile"/>
    <s v="Social"/>
    <s v="Basic"/>
    <n v="0"/>
    <n v="0"/>
    <n v="0"/>
    <x v="0"/>
    <n v="0"/>
    <n v="0"/>
    <n v="0"/>
    <n v="0"/>
    <m/>
    <n v="45.4"/>
  </r>
  <r>
    <s v="USR-100217"/>
    <d v="2025-03-27T00:00:00"/>
    <x v="0"/>
    <s v="North"/>
    <s v="Mobile"/>
    <s v="Paid Search"/>
    <s v="Basic"/>
    <n v="1"/>
    <n v="0"/>
    <n v="0"/>
    <x v="0"/>
    <n v="0"/>
    <n v="0"/>
    <n v="0"/>
    <n v="0"/>
    <m/>
    <n v="53.3"/>
  </r>
  <r>
    <s v="USR-100218"/>
    <d v="2025-02-25T00:00:00"/>
    <x v="0"/>
    <s v="North"/>
    <s v="Tablet"/>
    <s v="Social"/>
    <s v="Free"/>
    <n v="1"/>
    <n v="0"/>
    <n v="0"/>
    <x v="0"/>
    <n v="0"/>
    <n v="0"/>
    <n v="0"/>
    <n v="0"/>
    <m/>
    <m/>
  </r>
  <r>
    <s v="USR-100219"/>
    <d v="2025-02-19T00:00:00"/>
    <x v="0"/>
    <s v="East"/>
    <s v="Mobile"/>
    <s v="Paid Search"/>
    <s v="Free"/>
    <n v="0"/>
    <n v="0"/>
    <n v="0"/>
    <x v="0"/>
    <n v="0"/>
    <n v="1"/>
    <n v="1"/>
    <n v="0"/>
    <m/>
    <n v="38.200000000000003"/>
  </r>
  <r>
    <s v="USR-100220"/>
    <d v="2025-04-11T00:00:00"/>
    <x v="0"/>
    <s v="West"/>
    <s v="Mobile"/>
    <s v="Paid Search"/>
    <s v="Free"/>
    <n v="1"/>
    <n v="1"/>
    <n v="0"/>
    <x v="0"/>
    <n v="0"/>
    <n v="3"/>
    <n v="1"/>
    <n v="0"/>
    <m/>
    <n v="59"/>
  </r>
  <r>
    <s v="USR-100221"/>
    <d v="2025-01-22T00:00:00"/>
    <x v="0"/>
    <s v="East"/>
    <s v="Tablet"/>
    <s v="Referral"/>
    <s v="Premium"/>
    <n v="1"/>
    <n v="1"/>
    <n v="1"/>
    <x v="0"/>
    <n v="0"/>
    <n v="0"/>
    <n v="0"/>
    <n v="0"/>
    <m/>
    <n v="80.599999999999994"/>
  </r>
  <r>
    <s v="USR-100222"/>
    <d v="2025-01-12T00:00:00"/>
    <x v="0"/>
    <s v="South"/>
    <s v="Mobile"/>
    <s v="Social"/>
    <s v="Free"/>
    <n v="1"/>
    <n v="0"/>
    <n v="0"/>
    <x v="0"/>
    <n v="0"/>
    <n v="0"/>
    <n v="0"/>
    <n v="0"/>
    <m/>
    <n v="67"/>
  </r>
  <r>
    <s v="USR-100223"/>
    <d v="2025-02-17T00:00:00"/>
    <x v="0"/>
    <s v="West"/>
    <s v="Mobile"/>
    <s v="Email"/>
    <s v="Free"/>
    <n v="1"/>
    <n v="0"/>
    <n v="0"/>
    <x v="0"/>
    <n v="0"/>
    <n v="1"/>
    <n v="1"/>
    <n v="0"/>
    <m/>
    <n v="72.099999999999994"/>
  </r>
  <r>
    <s v="USR-100224"/>
    <d v="2025-04-11T00:00:00"/>
    <x v="0"/>
    <s v="West"/>
    <s v="Desktop"/>
    <s v="Organic"/>
    <s v="Free"/>
    <n v="0"/>
    <n v="0"/>
    <n v="0"/>
    <x v="0"/>
    <n v="0"/>
    <n v="0"/>
    <n v="0"/>
    <n v="0"/>
    <m/>
    <n v="74.099999999999994"/>
  </r>
  <r>
    <s v="USR-100225"/>
    <d v="2025-05-25T00:00:00"/>
    <x v="0"/>
    <s v="South"/>
    <s v="Mobile"/>
    <s v="Referral"/>
    <s v="Premium"/>
    <n v="0"/>
    <n v="0"/>
    <n v="0"/>
    <x v="0"/>
    <n v="0"/>
    <n v="0"/>
    <n v="0"/>
    <n v="0"/>
    <m/>
    <n v="84.8"/>
  </r>
  <r>
    <s v="USR-100226"/>
    <d v="2025-03-12T00:00:00"/>
    <x v="0"/>
    <s v="South"/>
    <s v="Mobile"/>
    <s v="Organic"/>
    <s v="Basic"/>
    <n v="1"/>
    <n v="0"/>
    <n v="0"/>
    <x v="0"/>
    <n v="0"/>
    <n v="0"/>
    <n v="0"/>
    <n v="0"/>
    <m/>
    <n v="33"/>
  </r>
  <r>
    <s v="USR-100227"/>
    <d v="2025-04-20T00:00:00"/>
    <x v="0"/>
    <s v="North"/>
    <s v="Tablet"/>
    <s v="Email"/>
    <s v="Free"/>
    <n v="0"/>
    <n v="0"/>
    <n v="0"/>
    <x v="0"/>
    <n v="0"/>
    <n v="0"/>
    <n v="0"/>
    <n v="0"/>
    <m/>
    <n v="52.5"/>
  </r>
  <r>
    <s v="USR-100228"/>
    <d v="2025-02-23T00:00:00"/>
    <x v="0"/>
    <s v="North"/>
    <s v="Tablet"/>
    <s v="Organic"/>
    <s v="Free"/>
    <n v="0"/>
    <n v="0"/>
    <n v="0"/>
    <x v="0"/>
    <n v="0"/>
    <n v="0"/>
    <n v="0"/>
    <n v="0"/>
    <m/>
    <n v="66.900000000000006"/>
  </r>
  <r>
    <s v="USR-100229"/>
    <d v="2025-01-24T00:00:00"/>
    <x v="0"/>
    <s v="North"/>
    <s v="Mobile"/>
    <s v="Organic"/>
    <s v="Basic"/>
    <n v="1"/>
    <n v="1"/>
    <n v="1"/>
    <x v="0"/>
    <n v="0"/>
    <n v="1"/>
    <n v="1"/>
    <n v="0"/>
    <m/>
    <n v="32.700000000000003"/>
  </r>
  <r>
    <s v="USR-100230"/>
    <d v="2025-01-16T00:00:00"/>
    <x v="0"/>
    <s v="West"/>
    <s v="Mobile"/>
    <s v="Organic"/>
    <s v="Premium"/>
    <n v="1"/>
    <n v="1"/>
    <n v="1"/>
    <x v="0"/>
    <n v="0"/>
    <n v="1"/>
    <n v="1"/>
    <n v="0"/>
    <m/>
    <n v="70.599999999999994"/>
  </r>
  <r>
    <s v="USR-100231"/>
    <d v="2025-02-17T00:00:00"/>
    <x v="0"/>
    <s v="North"/>
    <s v="Mobile"/>
    <s v="Social"/>
    <s v="Free"/>
    <n v="0"/>
    <n v="0"/>
    <n v="0"/>
    <x v="0"/>
    <n v="0"/>
    <n v="0"/>
    <n v="0"/>
    <n v="0"/>
    <m/>
    <n v="69.400000000000006"/>
  </r>
  <r>
    <s v="USR-100232"/>
    <d v="2025-05-04T00:00:00"/>
    <x v="0"/>
    <s v="North"/>
    <s v="Desktop"/>
    <s v="Organic"/>
    <s v="Basic"/>
    <n v="1"/>
    <n v="0"/>
    <n v="0"/>
    <x v="0"/>
    <n v="0"/>
    <n v="0"/>
    <n v="0"/>
    <n v="0"/>
    <m/>
    <n v="56.1"/>
  </r>
  <r>
    <s v="USR-100233"/>
    <d v="2025-01-12T00:00:00"/>
    <x v="0"/>
    <s v="West"/>
    <s v="Mobile"/>
    <s v="Organic"/>
    <s v="Basic"/>
    <n v="0"/>
    <n v="0"/>
    <n v="0"/>
    <x v="0"/>
    <n v="0"/>
    <n v="0"/>
    <n v="0"/>
    <n v="0"/>
    <m/>
    <n v="55.8"/>
  </r>
  <r>
    <s v="USR-100234"/>
    <d v="2025-04-28T00:00:00"/>
    <x v="0"/>
    <s v="North"/>
    <s v="Tablet"/>
    <s v="Organic"/>
    <s v="Free"/>
    <n v="0"/>
    <n v="0"/>
    <n v="0"/>
    <x v="0"/>
    <n v="0"/>
    <n v="0"/>
    <n v="0"/>
    <n v="0"/>
    <m/>
    <n v="49.3"/>
  </r>
  <r>
    <s v="USR-100235"/>
    <d v="2025-02-26T00:00:00"/>
    <x v="0"/>
    <s v="North"/>
    <s v="Mobile"/>
    <s v="Organic"/>
    <s v="Free"/>
    <n v="0"/>
    <n v="0"/>
    <n v="0"/>
    <x v="0"/>
    <n v="0"/>
    <n v="0"/>
    <n v="0"/>
    <n v="0"/>
    <m/>
    <n v="71.8"/>
  </r>
  <r>
    <s v="USR-100236"/>
    <d v="2025-03-18T00:00:00"/>
    <x v="0"/>
    <s v="West"/>
    <s v="Mobile"/>
    <s v="Social"/>
    <s v="Free"/>
    <n v="1"/>
    <n v="0"/>
    <n v="0"/>
    <x v="0"/>
    <n v="0"/>
    <n v="3"/>
    <n v="1"/>
    <n v="0"/>
    <m/>
    <n v="39.700000000000003"/>
  </r>
  <r>
    <s v="USR-100237"/>
    <d v="2025-03-01T00:00:00"/>
    <x v="0"/>
    <s v="South"/>
    <s v="Desktop"/>
    <s v="Organic"/>
    <s v="Premium"/>
    <n v="1"/>
    <n v="0"/>
    <n v="0"/>
    <x v="0"/>
    <n v="0"/>
    <n v="0"/>
    <n v="0"/>
    <n v="0"/>
    <m/>
    <n v="45.4"/>
  </r>
  <r>
    <s v="USR-100238"/>
    <d v="2025-04-05T00:00:00"/>
    <x v="0"/>
    <s v="North"/>
    <s v="Desktop"/>
    <s v="Social"/>
    <s v="Premium"/>
    <n v="1"/>
    <n v="0"/>
    <n v="0"/>
    <x v="0"/>
    <n v="0"/>
    <n v="0"/>
    <n v="0"/>
    <n v="0"/>
    <m/>
    <n v="69.900000000000006"/>
  </r>
  <r>
    <s v="USR-100239"/>
    <d v="2025-03-12T00:00:00"/>
    <x v="0"/>
    <s v="North"/>
    <s v="Desktop"/>
    <s v="Social"/>
    <s v="Free"/>
    <n v="1"/>
    <n v="1"/>
    <n v="1"/>
    <x v="0"/>
    <n v="0"/>
    <n v="0"/>
    <n v="0"/>
    <n v="0"/>
    <m/>
    <n v="56.1"/>
  </r>
  <r>
    <s v="USR-100240"/>
    <d v="2025-03-15T00:00:00"/>
    <x v="0"/>
    <s v="West"/>
    <s v="Mobile"/>
    <s v="Referral"/>
    <s v="Basic"/>
    <n v="1"/>
    <n v="1"/>
    <n v="0"/>
    <x v="0"/>
    <n v="0"/>
    <n v="0"/>
    <n v="0"/>
    <n v="0"/>
    <m/>
    <n v="45.9"/>
  </r>
  <r>
    <s v="USR-100241"/>
    <d v="2025-02-23T00:00:00"/>
    <x v="0"/>
    <s v="West"/>
    <s v="Mobile"/>
    <s v="Email"/>
    <s v="Free"/>
    <n v="0"/>
    <n v="0"/>
    <n v="0"/>
    <x v="0"/>
    <n v="0"/>
    <n v="0"/>
    <n v="0"/>
    <n v="0"/>
    <m/>
    <n v="65.8"/>
  </r>
  <r>
    <s v="USR-100242"/>
    <d v="2025-04-22T00:00:00"/>
    <x v="0"/>
    <s v="North"/>
    <s v="Mobile"/>
    <s v="Organic"/>
    <s v="Basic"/>
    <n v="1"/>
    <n v="0"/>
    <n v="0"/>
    <x v="0"/>
    <n v="0"/>
    <n v="0"/>
    <n v="0"/>
    <n v="0"/>
    <m/>
    <n v="48.2"/>
  </r>
  <r>
    <s v="USR-100243"/>
    <d v="2025-01-09T00:00:00"/>
    <x v="0"/>
    <s v="East"/>
    <s v="Mobile"/>
    <s v="Organic"/>
    <s v="Basic"/>
    <n v="1"/>
    <n v="1"/>
    <n v="1"/>
    <x v="0"/>
    <n v="0"/>
    <n v="0"/>
    <n v="0"/>
    <n v="0"/>
    <m/>
    <n v="81.099999999999994"/>
  </r>
  <r>
    <s v="USR-100244"/>
    <d v="2025-03-05T00:00:00"/>
    <x v="0"/>
    <s v="East"/>
    <s v="Tablet"/>
    <s v="Social"/>
    <s v="Premium"/>
    <n v="1"/>
    <n v="1"/>
    <n v="0"/>
    <x v="0"/>
    <n v="0"/>
    <n v="0"/>
    <n v="0"/>
    <n v="0"/>
    <m/>
    <n v="53.2"/>
  </r>
  <r>
    <s v="USR-100245"/>
    <d v="2025-01-28T00:00:00"/>
    <x v="0"/>
    <s v="North"/>
    <s v="Mobile"/>
    <s v="Social"/>
    <s v="Free"/>
    <n v="1"/>
    <n v="1"/>
    <n v="1"/>
    <x v="0"/>
    <n v="0"/>
    <n v="0"/>
    <n v="0"/>
    <n v="0"/>
    <m/>
    <n v="57.7"/>
  </r>
  <r>
    <s v="USR-100246"/>
    <d v="2025-01-21T00:00:00"/>
    <x v="0"/>
    <s v="West"/>
    <s v="Mobile"/>
    <s v="Paid Search"/>
    <s v="Premium"/>
    <n v="1"/>
    <n v="1"/>
    <n v="0"/>
    <x v="0"/>
    <n v="0"/>
    <n v="0"/>
    <n v="0"/>
    <n v="0"/>
    <m/>
    <n v="78.900000000000006"/>
  </r>
  <r>
    <s v="USR-100247"/>
    <d v="2025-03-14T00:00:00"/>
    <x v="0"/>
    <s v="South"/>
    <s v="Mobile"/>
    <s v="Referral"/>
    <s v="Basic"/>
    <n v="0"/>
    <n v="0"/>
    <n v="0"/>
    <x v="0"/>
    <n v="0"/>
    <n v="0"/>
    <n v="0"/>
    <n v="0"/>
    <m/>
    <n v="55.7"/>
  </r>
  <r>
    <s v="USR-100248"/>
    <d v="2025-02-03T00:00:00"/>
    <x v="0"/>
    <s v="West"/>
    <s v="Mobile"/>
    <s v="Paid Search"/>
    <s v="Free"/>
    <n v="0"/>
    <n v="0"/>
    <n v="0"/>
    <x v="0"/>
    <n v="0"/>
    <n v="0"/>
    <n v="0"/>
    <n v="0"/>
    <m/>
    <n v="52.3"/>
  </r>
  <r>
    <s v="USR-100249"/>
    <d v="2025-05-22T00:00:00"/>
    <x v="0"/>
    <s v="North"/>
    <s v="Mobile"/>
    <s v="Social"/>
    <s v="Free"/>
    <n v="1"/>
    <n v="0"/>
    <n v="0"/>
    <x v="0"/>
    <n v="0"/>
    <n v="0"/>
    <n v="0"/>
    <n v="0"/>
    <m/>
    <n v="51.5"/>
  </r>
  <r>
    <s v="USR-100250"/>
    <d v="2025-04-25T00:00:00"/>
    <x v="0"/>
    <s v="North"/>
    <s v="Desktop"/>
    <s v="Email"/>
    <s v="Free"/>
    <n v="1"/>
    <n v="0"/>
    <n v="0"/>
    <x v="0"/>
    <n v="0"/>
    <n v="0"/>
    <n v="0"/>
    <n v="0"/>
    <m/>
    <n v="70.8"/>
  </r>
  <r>
    <s v="USR-100251"/>
    <d v="2025-01-30T00:00:00"/>
    <x v="0"/>
    <s v="North"/>
    <s v="Desktop"/>
    <s v="Email"/>
    <s v="Basic"/>
    <n v="1"/>
    <n v="1"/>
    <n v="1"/>
    <x v="1"/>
    <n v="1250.78"/>
    <n v="0"/>
    <n v="0"/>
    <n v="0"/>
    <n v="10"/>
    <n v="39"/>
  </r>
  <r>
    <s v="USR-100252"/>
    <d v="2025-05-23T00:00:00"/>
    <x v="0"/>
    <s v="West"/>
    <s v="Mobile"/>
    <s v="Organic"/>
    <s v="Free"/>
    <n v="1"/>
    <n v="0"/>
    <n v="0"/>
    <x v="0"/>
    <n v="0"/>
    <n v="0"/>
    <n v="0"/>
    <n v="0"/>
    <m/>
    <n v="61.6"/>
  </r>
  <r>
    <s v="USR-100253"/>
    <d v="2025-02-14T00:00:00"/>
    <x v="0"/>
    <s v="East"/>
    <s v="Desktop"/>
    <s v="Organic"/>
    <s v="Free"/>
    <n v="1"/>
    <n v="1"/>
    <n v="1"/>
    <x v="0"/>
    <n v="0"/>
    <n v="0"/>
    <n v="0"/>
    <n v="0"/>
    <m/>
    <n v="46.8"/>
  </r>
  <r>
    <s v="USR-100254"/>
    <d v="2025-03-05T00:00:00"/>
    <x v="0"/>
    <s v="North"/>
    <s v="Mobile"/>
    <s v="Paid Search"/>
    <s v="Premium"/>
    <n v="0"/>
    <n v="0"/>
    <n v="0"/>
    <x v="0"/>
    <n v="0"/>
    <n v="1"/>
    <n v="1"/>
    <n v="0"/>
    <m/>
    <n v="58.5"/>
  </r>
  <r>
    <s v="USR-100255"/>
    <d v="2025-05-27T00:00:00"/>
    <x v="0"/>
    <s v="North"/>
    <s v="Mobile"/>
    <s v="Paid Search"/>
    <s v="Basic"/>
    <n v="0"/>
    <n v="0"/>
    <n v="0"/>
    <x v="0"/>
    <n v="0"/>
    <n v="0"/>
    <n v="0"/>
    <n v="0"/>
    <m/>
    <n v="70.900000000000006"/>
  </r>
  <r>
    <s v="USR-100256"/>
    <d v="2025-01-07T00:00:00"/>
    <x v="0"/>
    <s v="South"/>
    <s v="Mobile"/>
    <s v="Paid Search"/>
    <s v="Free"/>
    <n v="1"/>
    <n v="0"/>
    <n v="0"/>
    <x v="0"/>
    <n v="0"/>
    <n v="0"/>
    <n v="0"/>
    <n v="0"/>
    <m/>
    <n v="48.4"/>
  </r>
  <r>
    <s v="USR-100257"/>
    <d v="2025-04-21T00:00:00"/>
    <x v="0"/>
    <s v="North"/>
    <s v="Mobile"/>
    <s v="Email"/>
    <s v="Free"/>
    <n v="1"/>
    <n v="0"/>
    <n v="0"/>
    <x v="0"/>
    <n v="0"/>
    <n v="0"/>
    <n v="0"/>
    <n v="0"/>
    <m/>
    <n v="58"/>
  </r>
  <r>
    <s v="USR-100258"/>
    <d v="2025-05-13T00:00:00"/>
    <x v="0"/>
    <s v="North"/>
    <s v="Mobile"/>
    <s v="Paid Search"/>
    <s v="Free"/>
    <n v="0"/>
    <n v="0"/>
    <n v="0"/>
    <x v="0"/>
    <n v="0"/>
    <n v="0"/>
    <n v="0"/>
    <n v="0"/>
    <m/>
    <n v="61.6"/>
  </r>
  <r>
    <s v="USR-100259"/>
    <d v="2025-01-28T00:00:00"/>
    <x v="0"/>
    <s v="East"/>
    <s v="Desktop"/>
    <s v="Organic"/>
    <s v="Free"/>
    <n v="1"/>
    <n v="0"/>
    <n v="0"/>
    <x v="0"/>
    <n v="0"/>
    <n v="0"/>
    <n v="0"/>
    <n v="0"/>
    <m/>
    <n v="43.2"/>
  </r>
  <r>
    <s v="USR-100260"/>
    <d v="2025-03-16T00:00:00"/>
    <x v="0"/>
    <s v="East"/>
    <s v="Desktop"/>
    <s v="Paid Search"/>
    <s v="Basic"/>
    <n v="1"/>
    <n v="0"/>
    <n v="0"/>
    <x v="0"/>
    <n v="0"/>
    <n v="1"/>
    <n v="1"/>
    <n v="0"/>
    <m/>
    <n v="53.3"/>
  </r>
  <r>
    <s v="USR-100261"/>
    <d v="2025-04-10T00:00:00"/>
    <x v="0"/>
    <s v="East"/>
    <s v="Desktop"/>
    <s v="Social"/>
    <s v="Basic"/>
    <n v="0"/>
    <n v="0"/>
    <n v="0"/>
    <x v="0"/>
    <n v="0"/>
    <n v="0"/>
    <n v="0"/>
    <n v="0"/>
    <m/>
    <n v="33.9"/>
  </r>
  <r>
    <s v="USR-100262"/>
    <d v="2025-03-15T00:00:00"/>
    <x v="0"/>
    <s v="East"/>
    <s v="Desktop"/>
    <s v="Referral"/>
    <s v="Free"/>
    <n v="1"/>
    <n v="1"/>
    <n v="1"/>
    <x v="0"/>
    <n v="0"/>
    <n v="0"/>
    <n v="0"/>
    <n v="0"/>
    <m/>
    <n v="35.4"/>
  </r>
  <r>
    <s v="USR-100263"/>
    <d v="2025-04-07T00:00:00"/>
    <x v="0"/>
    <s v="West"/>
    <s v="Desktop"/>
    <s v="Organic"/>
    <s v="Basic"/>
    <n v="1"/>
    <n v="0"/>
    <n v="0"/>
    <x v="0"/>
    <n v="0"/>
    <n v="0"/>
    <n v="0"/>
    <n v="0"/>
    <m/>
    <n v="45"/>
  </r>
  <r>
    <s v="USR-100264"/>
    <d v="2025-02-12T00:00:00"/>
    <x v="0"/>
    <s v="South"/>
    <s v="Mobile"/>
    <s v="Organic"/>
    <s v="Free"/>
    <n v="1"/>
    <n v="1"/>
    <n v="0"/>
    <x v="0"/>
    <n v="0"/>
    <n v="0"/>
    <n v="0"/>
    <n v="0"/>
    <m/>
    <n v="86.5"/>
  </r>
  <r>
    <s v="USR-100265"/>
    <d v="2025-05-05T00:00:00"/>
    <x v="0"/>
    <s v="West"/>
    <s v="Mobile"/>
    <s v="Social"/>
    <s v="Free"/>
    <n v="0"/>
    <n v="0"/>
    <n v="0"/>
    <x v="0"/>
    <n v="0"/>
    <n v="0"/>
    <n v="0"/>
    <n v="0"/>
    <m/>
    <n v="58.1"/>
  </r>
  <r>
    <s v="USR-100266"/>
    <d v="2025-03-11T00:00:00"/>
    <x v="0"/>
    <s v="West"/>
    <s v="Mobile"/>
    <s v="Referral"/>
    <s v="Free"/>
    <n v="1"/>
    <n v="0"/>
    <n v="0"/>
    <x v="0"/>
    <n v="0"/>
    <n v="0"/>
    <n v="0"/>
    <n v="0"/>
    <m/>
    <n v="36.1"/>
  </r>
  <r>
    <s v="USR-100267"/>
    <d v="2025-02-10T00:00:00"/>
    <x v="0"/>
    <s v="East"/>
    <s v="Mobile"/>
    <s v="Social"/>
    <s v="Free"/>
    <n v="0"/>
    <n v="0"/>
    <n v="0"/>
    <x v="0"/>
    <n v="0"/>
    <n v="0"/>
    <n v="0"/>
    <n v="0"/>
    <m/>
    <n v="62.8"/>
  </r>
  <r>
    <s v="USR-100268"/>
    <d v="2025-04-06T00:00:00"/>
    <x v="0"/>
    <s v="South"/>
    <s v="Mobile"/>
    <s v="Organic"/>
    <s v="Free"/>
    <n v="0"/>
    <n v="0"/>
    <n v="0"/>
    <x v="0"/>
    <n v="0"/>
    <n v="0"/>
    <n v="0"/>
    <n v="0"/>
    <m/>
    <n v="54.2"/>
  </r>
  <r>
    <s v="USR-100269"/>
    <d v="2025-01-06T00:00:00"/>
    <x v="0"/>
    <s v="East"/>
    <s v="Mobile"/>
    <s v="Referral"/>
    <s v="Free"/>
    <n v="0"/>
    <n v="0"/>
    <n v="0"/>
    <x v="0"/>
    <n v="0"/>
    <n v="0"/>
    <n v="0"/>
    <n v="0"/>
    <m/>
    <n v="50"/>
  </r>
  <r>
    <s v="USR-100270"/>
    <d v="2025-03-25T00:00:00"/>
    <x v="0"/>
    <s v="East"/>
    <s v="Tablet"/>
    <s v="Paid Search"/>
    <s v="Basic"/>
    <n v="1"/>
    <n v="0"/>
    <n v="0"/>
    <x v="0"/>
    <n v="0"/>
    <n v="0"/>
    <n v="0"/>
    <n v="0"/>
    <m/>
    <n v="62"/>
  </r>
  <r>
    <s v="USR-100271"/>
    <d v="2025-02-13T00:00:00"/>
    <x v="0"/>
    <s v="East"/>
    <s v="Desktop"/>
    <s v="Referral"/>
    <s v="Free"/>
    <n v="1"/>
    <n v="0"/>
    <n v="0"/>
    <x v="0"/>
    <n v="0"/>
    <n v="0"/>
    <n v="0"/>
    <n v="0"/>
    <m/>
    <n v="29.3"/>
  </r>
  <r>
    <s v="USR-100272"/>
    <d v="2025-03-17T00:00:00"/>
    <x v="0"/>
    <s v="West"/>
    <s v="Desktop"/>
    <s v="Organic"/>
    <s v="Free"/>
    <n v="1"/>
    <n v="0"/>
    <n v="0"/>
    <x v="0"/>
    <n v="0"/>
    <n v="0"/>
    <n v="0"/>
    <n v="0"/>
    <m/>
    <n v="67.900000000000006"/>
  </r>
  <r>
    <s v="USR-100273"/>
    <d v="2025-05-10T00:00:00"/>
    <x v="0"/>
    <s v="North"/>
    <s v="Mobile"/>
    <s v="Referral"/>
    <s v="Free"/>
    <n v="1"/>
    <n v="1"/>
    <n v="1"/>
    <x v="0"/>
    <n v="0"/>
    <n v="0"/>
    <n v="0"/>
    <n v="0"/>
    <m/>
    <n v="67.599999999999994"/>
  </r>
  <r>
    <s v="USR-100274"/>
    <d v="2025-05-07T00:00:00"/>
    <x v="0"/>
    <s v="South"/>
    <s v="Mobile"/>
    <s v="Paid Search"/>
    <s v="Basic"/>
    <n v="0"/>
    <n v="0"/>
    <n v="0"/>
    <x v="0"/>
    <n v="0"/>
    <n v="0"/>
    <n v="0"/>
    <n v="0"/>
    <m/>
    <n v="67.400000000000006"/>
  </r>
  <r>
    <s v="USR-100275"/>
    <d v="2025-02-26T00:00:00"/>
    <x v="0"/>
    <s v="West"/>
    <s v="Desktop"/>
    <s v="Paid Search"/>
    <s v="Premium"/>
    <n v="0"/>
    <n v="0"/>
    <n v="0"/>
    <x v="0"/>
    <n v="0"/>
    <n v="2"/>
    <n v="1"/>
    <n v="0"/>
    <m/>
    <n v="53"/>
  </r>
  <r>
    <s v="USR-100276"/>
    <d v="2025-05-11T00:00:00"/>
    <x v="0"/>
    <s v="North"/>
    <s v="Mobile"/>
    <s v="Organic"/>
    <s v="Basic"/>
    <n v="0"/>
    <n v="0"/>
    <n v="0"/>
    <x v="0"/>
    <n v="0"/>
    <n v="0"/>
    <n v="0"/>
    <n v="0"/>
    <m/>
    <n v="65.5"/>
  </r>
  <r>
    <s v="USR-100277"/>
    <d v="2025-03-20T00:00:00"/>
    <x v="0"/>
    <s v="South"/>
    <s v="Mobile"/>
    <s v="Organic"/>
    <s v="Basic"/>
    <n v="1"/>
    <n v="1"/>
    <n v="0"/>
    <x v="0"/>
    <n v="0"/>
    <n v="0"/>
    <n v="0"/>
    <n v="0"/>
    <m/>
    <n v="49.6"/>
  </r>
  <r>
    <s v="USR-100278"/>
    <d v="2025-01-19T00:00:00"/>
    <x v="0"/>
    <s v="North"/>
    <s v="Mobile"/>
    <s v="Email"/>
    <s v="Free"/>
    <n v="1"/>
    <n v="1"/>
    <n v="0"/>
    <x v="0"/>
    <n v="0"/>
    <n v="0"/>
    <n v="0"/>
    <n v="0"/>
    <m/>
    <n v="74.5"/>
  </r>
  <r>
    <s v="USR-100279"/>
    <d v="2025-03-08T00:00:00"/>
    <x v="0"/>
    <s v="North"/>
    <s v="Tablet"/>
    <s v="Paid Search"/>
    <s v="Premium"/>
    <n v="1"/>
    <n v="0"/>
    <n v="0"/>
    <x v="0"/>
    <n v="0"/>
    <n v="1"/>
    <n v="1"/>
    <n v="0"/>
    <m/>
    <n v="46.9"/>
  </r>
  <r>
    <s v="USR-100280"/>
    <d v="2025-04-25T00:00:00"/>
    <x v="0"/>
    <s v="North"/>
    <s v="Mobile"/>
    <s v="Organic"/>
    <s v="Free"/>
    <n v="0"/>
    <n v="0"/>
    <n v="0"/>
    <x v="0"/>
    <n v="0"/>
    <n v="0"/>
    <n v="0"/>
    <n v="0"/>
    <m/>
    <n v="87.1"/>
  </r>
  <r>
    <s v="USR-100281"/>
    <d v="2025-04-04T00:00:00"/>
    <x v="0"/>
    <s v="North"/>
    <s v="Desktop"/>
    <s v="Organic"/>
    <s v="Free"/>
    <n v="1"/>
    <n v="0"/>
    <n v="0"/>
    <x v="0"/>
    <n v="0"/>
    <n v="0"/>
    <n v="0"/>
    <n v="0"/>
    <m/>
    <n v="56"/>
  </r>
  <r>
    <s v="USR-100282"/>
    <d v="2025-05-01T00:00:00"/>
    <x v="0"/>
    <s v="East"/>
    <s v="Mobile"/>
    <s v="Paid Search"/>
    <s v="Premium"/>
    <n v="1"/>
    <n v="0"/>
    <n v="0"/>
    <x v="0"/>
    <n v="0"/>
    <n v="1"/>
    <n v="1"/>
    <n v="0"/>
    <m/>
    <n v="61.7"/>
  </r>
  <r>
    <s v="USR-100283"/>
    <d v="2025-01-21T00:00:00"/>
    <x v="0"/>
    <s v="South"/>
    <s v="Mobile"/>
    <s v="Social"/>
    <s v="Free"/>
    <n v="1"/>
    <n v="0"/>
    <n v="0"/>
    <x v="0"/>
    <n v="0"/>
    <n v="1"/>
    <n v="1"/>
    <n v="0"/>
    <m/>
    <n v="70.5"/>
  </r>
  <r>
    <s v="USR-100284"/>
    <d v="2025-02-10T00:00:00"/>
    <x v="0"/>
    <s v="North"/>
    <s v="Desktop"/>
    <s v="Referral"/>
    <s v="Basic"/>
    <n v="1"/>
    <n v="0"/>
    <n v="0"/>
    <x v="0"/>
    <n v="0"/>
    <n v="0"/>
    <n v="0"/>
    <n v="0"/>
    <m/>
    <n v="33.4"/>
  </r>
  <r>
    <s v="USR-100285"/>
    <d v="2025-05-06T00:00:00"/>
    <x v="0"/>
    <s v="South"/>
    <s v="Desktop"/>
    <s v="Organic"/>
    <s v="Free"/>
    <n v="1"/>
    <n v="0"/>
    <n v="0"/>
    <x v="0"/>
    <n v="0"/>
    <n v="0"/>
    <n v="0"/>
    <n v="0"/>
    <m/>
    <n v="57.5"/>
  </r>
  <r>
    <s v="USR-100286"/>
    <d v="2025-02-08T00:00:00"/>
    <x v="0"/>
    <s v="North"/>
    <s v="Desktop"/>
    <s v="Paid Search"/>
    <s v="Basic"/>
    <n v="1"/>
    <n v="1"/>
    <n v="0"/>
    <x v="0"/>
    <n v="0"/>
    <n v="0"/>
    <n v="0"/>
    <n v="0"/>
    <m/>
    <n v="85.7"/>
  </r>
  <r>
    <s v="USR-100287"/>
    <d v="2025-05-31T00:00:00"/>
    <x v="0"/>
    <s v="East"/>
    <s v="Mobile"/>
    <s v="Social"/>
    <s v="Free"/>
    <n v="1"/>
    <n v="0"/>
    <n v="0"/>
    <x v="0"/>
    <n v="0"/>
    <n v="0"/>
    <n v="0"/>
    <n v="0"/>
    <m/>
    <n v="41.9"/>
  </r>
  <r>
    <s v="USR-100288"/>
    <d v="2025-02-07T00:00:00"/>
    <x v="0"/>
    <s v="West"/>
    <s v="Mobile"/>
    <s v="Email"/>
    <s v="Basic"/>
    <n v="1"/>
    <n v="0"/>
    <n v="0"/>
    <x v="0"/>
    <n v="0"/>
    <n v="0"/>
    <n v="0"/>
    <n v="0"/>
    <m/>
    <n v="70.2"/>
  </r>
  <r>
    <s v="USR-100289"/>
    <d v="2025-02-10T00:00:00"/>
    <x v="0"/>
    <s v="North"/>
    <s v="Mobile"/>
    <s v="Social"/>
    <s v="Free"/>
    <n v="1"/>
    <n v="0"/>
    <n v="0"/>
    <x v="0"/>
    <n v="0"/>
    <n v="0"/>
    <n v="0"/>
    <n v="0"/>
    <m/>
    <n v="42.6"/>
  </r>
  <r>
    <s v="USR-100290"/>
    <d v="2025-01-31T00:00:00"/>
    <x v="0"/>
    <s v="West"/>
    <s v="Mobile"/>
    <s v="Social"/>
    <s v="Basic"/>
    <n v="0"/>
    <n v="0"/>
    <n v="0"/>
    <x v="0"/>
    <n v="0"/>
    <n v="2"/>
    <n v="1"/>
    <n v="0"/>
    <m/>
    <n v="30.4"/>
  </r>
  <r>
    <s v="USR-100291"/>
    <d v="2025-03-16T00:00:00"/>
    <x v="0"/>
    <s v="East"/>
    <s v="Mobile"/>
    <s v="Paid Search"/>
    <s v="Basic"/>
    <n v="1"/>
    <n v="0"/>
    <n v="0"/>
    <x v="0"/>
    <n v="0"/>
    <n v="0"/>
    <n v="0"/>
    <n v="0"/>
    <m/>
    <n v="63.7"/>
  </r>
  <r>
    <s v="USR-100292"/>
    <d v="2025-04-24T00:00:00"/>
    <x v="0"/>
    <s v="South"/>
    <s v="Mobile"/>
    <s v="Social"/>
    <s v="Basic"/>
    <n v="0"/>
    <n v="0"/>
    <n v="0"/>
    <x v="0"/>
    <n v="0"/>
    <n v="0"/>
    <n v="0"/>
    <n v="0"/>
    <m/>
    <n v="42.7"/>
  </r>
  <r>
    <s v="USR-100293"/>
    <d v="2025-01-28T00:00:00"/>
    <x v="0"/>
    <s v="North"/>
    <s v="Mobile"/>
    <s v="Organic"/>
    <s v="Free"/>
    <n v="0"/>
    <n v="0"/>
    <n v="0"/>
    <x v="0"/>
    <n v="0"/>
    <n v="0"/>
    <n v="0"/>
    <n v="0"/>
    <m/>
    <n v="74.3"/>
  </r>
  <r>
    <s v="USR-100294"/>
    <d v="2025-02-16T00:00:00"/>
    <x v="0"/>
    <s v="West"/>
    <s v="Desktop"/>
    <s v="Email"/>
    <s v="Free"/>
    <n v="1"/>
    <n v="0"/>
    <n v="0"/>
    <x v="0"/>
    <n v="0"/>
    <n v="0"/>
    <n v="0"/>
    <n v="0"/>
    <m/>
    <n v="40.6"/>
  </r>
  <r>
    <s v="USR-100295"/>
    <d v="2025-03-23T00:00:00"/>
    <x v="0"/>
    <s v="East"/>
    <s v="Mobile"/>
    <s v="Organic"/>
    <s v="Premium"/>
    <n v="0"/>
    <n v="0"/>
    <n v="0"/>
    <x v="0"/>
    <n v="0"/>
    <n v="0"/>
    <n v="0"/>
    <n v="0"/>
    <m/>
    <n v="67"/>
  </r>
  <r>
    <s v="USR-100296"/>
    <d v="2025-05-31T00:00:00"/>
    <x v="0"/>
    <s v="East"/>
    <s v="Mobile"/>
    <s v="Paid Search"/>
    <s v="Premium"/>
    <n v="0"/>
    <n v="0"/>
    <n v="0"/>
    <x v="0"/>
    <n v="0"/>
    <n v="0"/>
    <n v="0"/>
    <n v="0"/>
    <m/>
    <n v="51"/>
  </r>
  <r>
    <s v="USR-100297"/>
    <d v="2025-04-13T00:00:00"/>
    <x v="0"/>
    <s v="West"/>
    <s v="Mobile"/>
    <s v="Social"/>
    <s v="Basic"/>
    <n v="1"/>
    <n v="1"/>
    <n v="0"/>
    <x v="0"/>
    <n v="0"/>
    <n v="1"/>
    <n v="1"/>
    <n v="0"/>
    <m/>
    <n v="54.8"/>
  </r>
  <r>
    <s v="USR-100298"/>
    <d v="2025-05-14T00:00:00"/>
    <x v="0"/>
    <s v="North"/>
    <s v="Tablet"/>
    <s v="Email"/>
    <s v="Basic"/>
    <n v="0"/>
    <n v="0"/>
    <n v="0"/>
    <x v="0"/>
    <n v="0"/>
    <n v="0"/>
    <n v="0"/>
    <n v="0"/>
    <m/>
    <n v="40.799999999999997"/>
  </r>
  <r>
    <s v="USR-100299"/>
    <d v="2025-02-19T00:00:00"/>
    <x v="0"/>
    <s v="East"/>
    <s v="Mobile"/>
    <s v="Paid Search"/>
    <s v="Free"/>
    <n v="0"/>
    <n v="0"/>
    <n v="0"/>
    <x v="0"/>
    <n v="0"/>
    <n v="0"/>
    <n v="0"/>
    <n v="0"/>
    <m/>
    <n v="48.8"/>
  </r>
  <r>
    <s v="USR-100300"/>
    <d v="2025-01-24T00:00:00"/>
    <x v="0"/>
    <s v="South"/>
    <s v="Mobile"/>
    <m/>
    <s v="Basic"/>
    <n v="1"/>
    <n v="1"/>
    <n v="1"/>
    <x v="1"/>
    <n v="1198.69"/>
    <n v="1"/>
    <n v="1"/>
    <n v="0"/>
    <n v="6"/>
    <n v="88.9"/>
  </r>
  <r>
    <s v="USR-100301"/>
    <d v="2025-05-09T00:00:00"/>
    <x v="0"/>
    <s v="North"/>
    <s v="Mobile"/>
    <s v="Email"/>
    <s v="Basic"/>
    <n v="1"/>
    <n v="1"/>
    <n v="1"/>
    <x v="0"/>
    <n v="0"/>
    <n v="1"/>
    <n v="1"/>
    <n v="0"/>
    <m/>
    <n v="60.5"/>
  </r>
  <r>
    <s v="USR-100302"/>
    <d v="2025-02-11T00:00:00"/>
    <x v="0"/>
    <s v="North"/>
    <s v="Mobile"/>
    <s v="Organic"/>
    <s v="Basic"/>
    <n v="1"/>
    <n v="0"/>
    <n v="0"/>
    <x v="0"/>
    <n v="0"/>
    <n v="0"/>
    <n v="0"/>
    <n v="0"/>
    <m/>
    <n v="63.6"/>
  </r>
  <r>
    <s v="USR-100303"/>
    <d v="2025-02-26T00:00:00"/>
    <x v="0"/>
    <s v="North"/>
    <s v="Desktop"/>
    <s v="Organic"/>
    <s v="Basic"/>
    <n v="1"/>
    <n v="1"/>
    <n v="1"/>
    <x v="1"/>
    <n v="6788.95"/>
    <n v="0"/>
    <n v="0"/>
    <n v="0"/>
    <n v="17"/>
    <n v="58.4"/>
  </r>
  <r>
    <s v="USR-100304"/>
    <d v="2025-02-12T00:00:00"/>
    <x v="0"/>
    <s v="South"/>
    <s v="Mobile"/>
    <s v="Social"/>
    <s v="Premium"/>
    <n v="0"/>
    <n v="0"/>
    <n v="0"/>
    <x v="0"/>
    <n v="0"/>
    <n v="0"/>
    <n v="0"/>
    <n v="0"/>
    <m/>
    <n v="52.7"/>
  </r>
  <r>
    <s v="USR-100305"/>
    <d v="2025-01-05T00:00:00"/>
    <x v="0"/>
    <s v="South"/>
    <s v="Tablet"/>
    <s v="Social"/>
    <s v="Premium"/>
    <n v="1"/>
    <n v="1"/>
    <n v="1"/>
    <x v="0"/>
    <n v="0"/>
    <n v="2"/>
    <n v="1"/>
    <n v="0"/>
    <m/>
    <n v="48.9"/>
  </r>
  <r>
    <s v="USR-100306"/>
    <d v="2025-05-19T00:00:00"/>
    <x v="0"/>
    <s v="West"/>
    <s v="Mobile"/>
    <s v="Organic"/>
    <s v="Premium"/>
    <n v="0"/>
    <n v="0"/>
    <n v="0"/>
    <x v="0"/>
    <n v="0"/>
    <n v="0"/>
    <n v="0"/>
    <n v="0"/>
    <m/>
    <n v="79.7"/>
  </r>
  <r>
    <s v="USR-100307"/>
    <d v="2025-02-02T00:00:00"/>
    <x v="0"/>
    <s v="North"/>
    <s v="Mobile"/>
    <s v="Social"/>
    <s v="Free"/>
    <n v="1"/>
    <n v="0"/>
    <n v="0"/>
    <x v="0"/>
    <n v="0"/>
    <n v="0"/>
    <n v="0"/>
    <n v="0"/>
    <m/>
    <n v="44.9"/>
  </r>
  <r>
    <s v="USR-100308"/>
    <d v="2025-01-30T00:00:00"/>
    <x v="0"/>
    <s v="West"/>
    <s v="Tablet"/>
    <s v="Paid Search"/>
    <s v="Free"/>
    <n v="1"/>
    <n v="1"/>
    <n v="1"/>
    <x v="1"/>
    <n v="409.39"/>
    <n v="0"/>
    <n v="0"/>
    <n v="0"/>
    <n v="10"/>
    <n v="38.799999999999997"/>
  </r>
  <r>
    <s v="USR-100309"/>
    <d v="2025-05-01T00:00:00"/>
    <x v="0"/>
    <s v="South"/>
    <s v="Desktop"/>
    <s v="Email"/>
    <s v="Free"/>
    <n v="0"/>
    <n v="0"/>
    <n v="0"/>
    <x v="0"/>
    <n v="0"/>
    <n v="0"/>
    <n v="0"/>
    <n v="0"/>
    <m/>
    <n v="70"/>
  </r>
  <r>
    <s v="USR-100310"/>
    <d v="2025-05-16T00:00:00"/>
    <x v="0"/>
    <s v="South"/>
    <s v="Desktop"/>
    <s v="Referral"/>
    <s v="Basic"/>
    <n v="1"/>
    <n v="0"/>
    <n v="0"/>
    <x v="0"/>
    <n v="0"/>
    <n v="0"/>
    <n v="0"/>
    <n v="0"/>
    <m/>
    <n v="77.7"/>
  </r>
  <r>
    <s v="USR-100311"/>
    <d v="2025-03-08T00:00:00"/>
    <x v="0"/>
    <s v="West"/>
    <s v="Mobile"/>
    <s v="Organic"/>
    <s v="Free"/>
    <n v="0"/>
    <n v="0"/>
    <n v="0"/>
    <x v="0"/>
    <n v="0"/>
    <n v="0"/>
    <n v="0"/>
    <n v="0"/>
    <m/>
    <n v="71.2"/>
  </r>
  <r>
    <s v="USR-100312"/>
    <d v="2025-04-04T00:00:00"/>
    <x v="0"/>
    <s v="North"/>
    <s v="Mobile"/>
    <s v="Organic"/>
    <s v="Basic"/>
    <n v="1"/>
    <n v="0"/>
    <n v="0"/>
    <x v="0"/>
    <n v="0"/>
    <n v="0"/>
    <n v="0"/>
    <n v="0"/>
    <m/>
    <n v="43.8"/>
  </r>
  <r>
    <s v="USR-100313"/>
    <d v="2025-05-30T00:00:00"/>
    <x v="0"/>
    <s v="South"/>
    <s v="Tablet"/>
    <s v="Organic"/>
    <s v="Free"/>
    <n v="1"/>
    <n v="0"/>
    <n v="0"/>
    <x v="0"/>
    <n v="0"/>
    <n v="0"/>
    <n v="0"/>
    <n v="0"/>
    <m/>
    <n v="50.9"/>
  </r>
  <r>
    <s v="USR-100314"/>
    <d v="2025-01-05T00:00:00"/>
    <x v="0"/>
    <s v="West"/>
    <s v="Mobile"/>
    <s v="Organic"/>
    <s v="Premium"/>
    <n v="0"/>
    <n v="0"/>
    <n v="0"/>
    <x v="0"/>
    <n v="0"/>
    <n v="0"/>
    <n v="0"/>
    <n v="0"/>
    <m/>
    <n v="58.5"/>
  </r>
  <r>
    <s v="USR-100315"/>
    <d v="2025-01-20T00:00:00"/>
    <x v="0"/>
    <s v="East"/>
    <s v="Mobile"/>
    <s v="Organic"/>
    <s v="Free"/>
    <n v="1"/>
    <n v="1"/>
    <n v="1"/>
    <x v="0"/>
    <n v="0"/>
    <n v="0"/>
    <n v="0"/>
    <n v="0"/>
    <m/>
    <n v="53.6"/>
  </r>
  <r>
    <s v="USR-100316"/>
    <d v="2025-05-01T00:00:00"/>
    <x v="0"/>
    <s v="East"/>
    <s v="Mobile"/>
    <s v="Email"/>
    <s v="Free"/>
    <n v="0"/>
    <n v="0"/>
    <n v="0"/>
    <x v="0"/>
    <n v="0"/>
    <n v="0"/>
    <n v="0"/>
    <n v="0"/>
    <m/>
    <n v="54.9"/>
  </r>
  <r>
    <s v="USR-100317"/>
    <d v="2025-03-05T00:00:00"/>
    <x v="0"/>
    <s v="North"/>
    <s v="Desktop"/>
    <s v="Organic"/>
    <s v="Premium"/>
    <n v="0"/>
    <n v="0"/>
    <n v="0"/>
    <x v="0"/>
    <n v="0"/>
    <n v="0"/>
    <n v="0"/>
    <n v="0"/>
    <m/>
    <n v="57.3"/>
  </r>
  <r>
    <s v="USR-100318"/>
    <d v="2025-04-01T00:00:00"/>
    <x v="0"/>
    <s v="East"/>
    <s v="Desktop"/>
    <s v="Referral"/>
    <s v="Free"/>
    <n v="1"/>
    <n v="0"/>
    <n v="0"/>
    <x v="0"/>
    <n v="0"/>
    <n v="0"/>
    <n v="0"/>
    <n v="0"/>
    <m/>
    <n v="52.1"/>
  </r>
  <r>
    <s v="USR-100319"/>
    <d v="2025-05-03T00:00:00"/>
    <x v="0"/>
    <s v="North"/>
    <s v="Mobile"/>
    <s v="Organic"/>
    <s v="Free"/>
    <n v="1"/>
    <n v="0"/>
    <n v="0"/>
    <x v="0"/>
    <n v="0"/>
    <n v="0"/>
    <n v="0"/>
    <n v="0"/>
    <m/>
    <n v="80"/>
  </r>
  <r>
    <s v="USR-100320"/>
    <d v="2025-03-06T00:00:00"/>
    <x v="0"/>
    <s v="South"/>
    <s v="Desktop"/>
    <s v="Paid Search"/>
    <s v="Premium"/>
    <n v="1"/>
    <n v="0"/>
    <n v="0"/>
    <x v="0"/>
    <n v="0"/>
    <n v="0"/>
    <n v="0"/>
    <n v="0"/>
    <m/>
    <n v="39.299999999999997"/>
  </r>
  <r>
    <s v="USR-100321"/>
    <d v="2025-04-01T00:00:00"/>
    <x v="0"/>
    <s v="North"/>
    <s v="Desktop"/>
    <s v="Referral"/>
    <s v="Premium"/>
    <n v="0"/>
    <n v="0"/>
    <n v="0"/>
    <x v="0"/>
    <n v="0"/>
    <n v="0"/>
    <n v="0"/>
    <n v="0"/>
    <m/>
    <n v="45.7"/>
  </r>
  <r>
    <s v="USR-100322"/>
    <d v="2025-02-09T00:00:00"/>
    <x v="0"/>
    <s v="North"/>
    <s v="Desktop"/>
    <s v="Social"/>
    <s v="Basic"/>
    <n v="1"/>
    <n v="0"/>
    <n v="0"/>
    <x v="0"/>
    <n v="0"/>
    <n v="2"/>
    <n v="1"/>
    <n v="0"/>
    <m/>
    <n v="61.2"/>
  </r>
  <r>
    <s v="USR-100323"/>
    <d v="2025-04-12T00:00:00"/>
    <x v="0"/>
    <s v="West"/>
    <s v="Mobile"/>
    <s v="Organic"/>
    <s v="Basic"/>
    <n v="1"/>
    <n v="1"/>
    <n v="0"/>
    <x v="0"/>
    <n v="0"/>
    <n v="0"/>
    <n v="0"/>
    <n v="0"/>
    <m/>
    <n v="66.2"/>
  </r>
  <r>
    <s v="USR-100324"/>
    <d v="2025-03-18T00:00:00"/>
    <x v="0"/>
    <s v="East"/>
    <s v="Mobile"/>
    <s v="Social"/>
    <s v="Free"/>
    <n v="1"/>
    <n v="1"/>
    <n v="1"/>
    <x v="0"/>
    <n v="0"/>
    <n v="0"/>
    <n v="0"/>
    <n v="0"/>
    <m/>
    <n v="61.3"/>
  </r>
  <r>
    <s v="USR-100325"/>
    <d v="2025-04-03T00:00:00"/>
    <x v="0"/>
    <s v="East"/>
    <s v="Mobile"/>
    <s v="Paid Search"/>
    <s v="Free"/>
    <n v="1"/>
    <n v="0"/>
    <n v="0"/>
    <x v="0"/>
    <n v="0"/>
    <n v="0"/>
    <n v="0"/>
    <n v="0"/>
    <m/>
    <n v="72.2"/>
  </r>
  <r>
    <s v="USR-100326"/>
    <d v="2025-04-02T00:00:00"/>
    <x v="0"/>
    <s v="West"/>
    <s v="Mobile"/>
    <s v="Email"/>
    <s v="Premium"/>
    <n v="1"/>
    <n v="1"/>
    <n v="1"/>
    <x v="0"/>
    <n v="0"/>
    <n v="0"/>
    <n v="0"/>
    <n v="0"/>
    <m/>
    <n v="84"/>
  </r>
  <r>
    <s v="USR-100327"/>
    <d v="2025-05-10T00:00:00"/>
    <x v="0"/>
    <s v="West"/>
    <s v="Desktop"/>
    <s v="Email"/>
    <s v="Basic"/>
    <n v="0"/>
    <n v="0"/>
    <n v="0"/>
    <x v="0"/>
    <n v="0"/>
    <n v="0"/>
    <n v="0"/>
    <n v="0"/>
    <m/>
    <n v="59.8"/>
  </r>
  <r>
    <s v="USR-100328"/>
    <d v="2025-04-29T00:00:00"/>
    <x v="0"/>
    <s v="West"/>
    <s v="Desktop"/>
    <s v="Paid Search"/>
    <s v="Free"/>
    <n v="1"/>
    <n v="0"/>
    <n v="0"/>
    <x v="0"/>
    <n v="0"/>
    <n v="0"/>
    <n v="0"/>
    <n v="0"/>
    <m/>
    <n v="64.900000000000006"/>
  </r>
  <r>
    <s v="USR-100329"/>
    <d v="2025-02-27T00:00:00"/>
    <x v="0"/>
    <s v="South"/>
    <s v="Mobile"/>
    <s v="Paid Search"/>
    <s v="Free"/>
    <n v="1"/>
    <n v="0"/>
    <n v="0"/>
    <x v="0"/>
    <n v="0"/>
    <n v="0"/>
    <n v="0"/>
    <n v="0"/>
    <m/>
    <n v="66.8"/>
  </r>
  <r>
    <s v="USR-100330"/>
    <d v="2025-04-10T00:00:00"/>
    <x v="0"/>
    <s v="North"/>
    <s v="Desktop"/>
    <s v="Organic"/>
    <s v="Premium"/>
    <n v="0"/>
    <n v="0"/>
    <n v="0"/>
    <x v="0"/>
    <n v="0"/>
    <n v="0"/>
    <n v="0"/>
    <n v="0"/>
    <m/>
    <n v="70.900000000000006"/>
  </r>
  <r>
    <s v="USR-100331"/>
    <d v="2025-02-13T00:00:00"/>
    <x v="0"/>
    <s v="East"/>
    <s v="Mobile"/>
    <s v="Organic"/>
    <s v="Free"/>
    <n v="1"/>
    <n v="1"/>
    <n v="1"/>
    <x v="1"/>
    <n v="426.82"/>
    <n v="1"/>
    <n v="1"/>
    <n v="0"/>
    <n v="14"/>
    <n v="68.8"/>
  </r>
  <r>
    <s v="USR-100332"/>
    <d v="2025-05-03T00:00:00"/>
    <x v="0"/>
    <s v="North"/>
    <s v="Mobile"/>
    <s v="Organic"/>
    <s v="Basic"/>
    <n v="1"/>
    <n v="0"/>
    <n v="0"/>
    <x v="0"/>
    <n v="0"/>
    <n v="0"/>
    <n v="0"/>
    <n v="0"/>
    <m/>
    <n v="72.400000000000006"/>
  </r>
  <r>
    <s v="USR-100333"/>
    <d v="2025-03-10T00:00:00"/>
    <x v="0"/>
    <s v="East"/>
    <s v="Mobile"/>
    <s v="Organic"/>
    <s v="Basic"/>
    <n v="0"/>
    <n v="0"/>
    <n v="0"/>
    <x v="0"/>
    <n v="0"/>
    <n v="0"/>
    <n v="0"/>
    <n v="0"/>
    <m/>
    <n v="63.3"/>
  </r>
  <r>
    <s v="USR-100334"/>
    <d v="2025-01-10T00:00:00"/>
    <x v="0"/>
    <s v="West"/>
    <s v="Tablet"/>
    <s v="Social"/>
    <s v="Free"/>
    <n v="1"/>
    <n v="0"/>
    <n v="0"/>
    <x v="0"/>
    <n v="0"/>
    <n v="0"/>
    <n v="0"/>
    <n v="0"/>
    <m/>
    <n v="30.8"/>
  </r>
  <r>
    <s v="USR-100335"/>
    <d v="2025-01-16T00:00:00"/>
    <x v="0"/>
    <s v="South"/>
    <s v="Mobile"/>
    <s v="Email"/>
    <s v="Basic"/>
    <n v="1"/>
    <n v="1"/>
    <n v="1"/>
    <x v="1"/>
    <n v="874.55"/>
    <n v="0"/>
    <n v="0"/>
    <n v="0"/>
    <n v="9"/>
    <n v="44.2"/>
  </r>
  <r>
    <s v="USR-100336"/>
    <d v="2025-02-11T00:00:00"/>
    <x v="0"/>
    <s v="South"/>
    <s v="Desktop"/>
    <s v="Organic"/>
    <s v="Premium"/>
    <n v="1"/>
    <n v="1"/>
    <n v="1"/>
    <x v="1"/>
    <n v="2206.88"/>
    <n v="0"/>
    <n v="0"/>
    <n v="0"/>
    <n v="10"/>
    <n v="56.2"/>
  </r>
  <r>
    <s v="USR-100337"/>
    <d v="2025-04-13T00:00:00"/>
    <x v="0"/>
    <s v="West"/>
    <s v="Mobile"/>
    <s v="Organic"/>
    <s v="Free"/>
    <n v="0"/>
    <n v="0"/>
    <n v="0"/>
    <x v="0"/>
    <n v="0"/>
    <n v="0"/>
    <n v="0"/>
    <n v="0"/>
    <m/>
    <n v="40.4"/>
  </r>
  <r>
    <s v="USR-100338"/>
    <d v="2025-02-08T00:00:00"/>
    <x v="0"/>
    <s v="East"/>
    <s v="Mobile"/>
    <s v="Paid Search"/>
    <s v="Free"/>
    <n v="1"/>
    <n v="1"/>
    <n v="1"/>
    <x v="0"/>
    <n v="0"/>
    <n v="0"/>
    <n v="0"/>
    <n v="0"/>
    <m/>
    <n v="68.099999999999994"/>
  </r>
  <r>
    <s v="USR-100339"/>
    <d v="2025-03-31T00:00:00"/>
    <x v="0"/>
    <s v="West"/>
    <s v="Desktop"/>
    <s v="Referral"/>
    <s v="Free"/>
    <n v="1"/>
    <n v="0"/>
    <n v="0"/>
    <x v="0"/>
    <n v="0"/>
    <n v="0"/>
    <n v="0"/>
    <n v="0"/>
    <m/>
    <n v="86.3"/>
  </r>
  <r>
    <s v="USR-100340"/>
    <d v="2025-01-31T00:00:00"/>
    <x v="0"/>
    <s v="West"/>
    <s v="Desktop"/>
    <s v="Referral"/>
    <s v="Free"/>
    <n v="1"/>
    <n v="1"/>
    <n v="0"/>
    <x v="0"/>
    <n v="0"/>
    <n v="0"/>
    <n v="0"/>
    <n v="0"/>
    <m/>
    <n v="42.9"/>
  </r>
  <r>
    <s v="USR-100341"/>
    <d v="2025-05-08T00:00:00"/>
    <x v="0"/>
    <s v="West"/>
    <s v="Tablet"/>
    <s v="Organic"/>
    <s v="Free"/>
    <n v="0"/>
    <n v="0"/>
    <n v="0"/>
    <x v="0"/>
    <n v="0"/>
    <n v="0"/>
    <n v="0"/>
    <n v="0"/>
    <m/>
    <n v="61.4"/>
  </r>
  <r>
    <s v="USR-100342"/>
    <d v="2025-03-15T00:00:00"/>
    <x v="0"/>
    <s v="North"/>
    <s v="Mobile"/>
    <s v="Paid Search"/>
    <s v="Free"/>
    <n v="1"/>
    <n v="0"/>
    <n v="0"/>
    <x v="0"/>
    <n v="0"/>
    <n v="1"/>
    <n v="1"/>
    <n v="0"/>
    <m/>
    <n v="73.3"/>
  </r>
  <r>
    <s v="USR-100343"/>
    <d v="2025-01-13T00:00:00"/>
    <x v="0"/>
    <s v="South"/>
    <s v="Mobile"/>
    <s v="Referral"/>
    <s v="Basic"/>
    <n v="1"/>
    <n v="0"/>
    <n v="0"/>
    <x v="0"/>
    <n v="0"/>
    <n v="0"/>
    <n v="0"/>
    <n v="0"/>
    <m/>
    <n v="59.4"/>
  </r>
  <r>
    <s v="USR-100344"/>
    <d v="2025-03-07T00:00:00"/>
    <x v="0"/>
    <s v="South"/>
    <s v="Tablet"/>
    <s v="Organic"/>
    <s v="Basic"/>
    <n v="1"/>
    <n v="0"/>
    <n v="0"/>
    <x v="0"/>
    <n v="0"/>
    <n v="0"/>
    <n v="0"/>
    <n v="0"/>
    <m/>
    <n v="35.200000000000003"/>
  </r>
  <r>
    <s v="USR-100345"/>
    <d v="2025-02-10T00:00:00"/>
    <x v="0"/>
    <s v="South"/>
    <s v="Mobile"/>
    <s v="Social"/>
    <s v="Premium"/>
    <n v="1"/>
    <n v="1"/>
    <n v="0"/>
    <x v="0"/>
    <n v="0"/>
    <n v="0"/>
    <n v="0"/>
    <n v="0"/>
    <m/>
    <n v="55.3"/>
  </r>
  <r>
    <s v="USR-100346"/>
    <d v="2025-03-12T00:00:00"/>
    <x v="0"/>
    <s v="East"/>
    <s v="Mobile"/>
    <s v="Paid Search"/>
    <s v="Free"/>
    <n v="0"/>
    <n v="0"/>
    <n v="0"/>
    <x v="0"/>
    <n v="0"/>
    <n v="0"/>
    <n v="0"/>
    <n v="0"/>
    <m/>
    <n v="37.5"/>
  </r>
  <r>
    <s v="USR-100347"/>
    <d v="2025-01-03T00:00:00"/>
    <x v="0"/>
    <s v="South"/>
    <s v="Desktop"/>
    <s v="Paid Search"/>
    <s v="Free"/>
    <n v="0"/>
    <n v="0"/>
    <n v="0"/>
    <x v="0"/>
    <n v="0"/>
    <n v="1"/>
    <n v="1"/>
    <n v="0"/>
    <m/>
    <n v="66.400000000000006"/>
  </r>
  <r>
    <s v="USR-100348"/>
    <d v="2025-04-28T00:00:00"/>
    <x v="0"/>
    <s v="North"/>
    <s v="Tablet"/>
    <s v="Social"/>
    <s v="Basic"/>
    <n v="1"/>
    <n v="0"/>
    <n v="0"/>
    <x v="0"/>
    <n v="0"/>
    <n v="0"/>
    <n v="0"/>
    <n v="0"/>
    <m/>
    <n v="61.9"/>
  </r>
  <r>
    <s v="USR-100349"/>
    <d v="2025-04-17T00:00:00"/>
    <x v="0"/>
    <s v="East"/>
    <s v="Mobile"/>
    <s v="Organic"/>
    <s v="Free"/>
    <n v="0"/>
    <n v="0"/>
    <n v="0"/>
    <x v="0"/>
    <n v="0"/>
    <n v="0"/>
    <n v="0"/>
    <n v="0"/>
    <m/>
    <n v="56"/>
  </r>
  <r>
    <s v="USR-100350"/>
    <d v="2025-05-23T00:00:00"/>
    <x v="0"/>
    <s v="South"/>
    <s v="Desktop"/>
    <s v="Social"/>
    <s v="Basic"/>
    <n v="1"/>
    <n v="0"/>
    <n v="0"/>
    <x v="0"/>
    <n v="0"/>
    <n v="0"/>
    <n v="0"/>
    <n v="0"/>
    <m/>
    <n v="55.5"/>
  </r>
  <r>
    <s v="USR-100351"/>
    <d v="2025-02-19T00:00:00"/>
    <x v="0"/>
    <s v="West"/>
    <s v="Tablet"/>
    <s v="Referral"/>
    <s v="Basic"/>
    <n v="1"/>
    <n v="0"/>
    <n v="0"/>
    <x v="0"/>
    <n v="0"/>
    <n v="0"/>
    <n v="0"/>
    <n v="0"/>
    <m/>
    <n v="37.200000000000003"/>
  </r>
  <r>
    <s v="USR-100352"/>
    <d v="2025-01-18T00:00:00"/>
    <x v="0"/>
    <s v="South"/>
    <s v="Desktop"/>
    <s v="Organic"/>
    <s v="Free"/>
    <n v="1"/>
    <n v="1"/>
    <n v="0"/>
    <x v="0"/>
    <n v="0"/>
    <n v="1"/>
    <n v="1"/>
    <n v="0"/>
    <m/>
    <n v="70.5"/>
  </r>
  <r>
    <s v="USR-100353"/>
    <d v="2025-04-17T00:00:00"/>
    <x v="0"/>
    <s v="North"/>
    <s v="Mobile"/>
    <s v="Organic"/>
    <s v="Free"/>
    <n v="0"/>
    <n v="0"/>
    <n v="0"/>
    <x v="0"/>
    <n v="0"/>
    <n v="0"/>
    <n v="0"/>
    <n v="0"/>
    <m/>
    <n v="61.2"/>
  </r>
  <r>
    <s v="USR-100354"/>
    <d v="2025-04-12T00:00:00"/>
    <x v="0"/>
    <s v="East"/>
    <s v="Tablet"/>
    <s v="Social"/>
    <s v="Free"/>
    <n v="1"/>
    <n v="1"/>
    <n v="1"/>
    <x v="0"/>
    <n v="0"/>
    <n v="0"/>
    <n v="0"/>
    <n v="0"/>
    <m/>
    <n v="64.599999999999994"/>
  </r>
  <r>
    <s v="USR-100355"/>
    <d v="2025-05-16T00:00:00"/>
    <x v="0"/>
    <s v="East"/>
    <s v="Mobile"/>
    <s v="Email"/>
    <s v="Free"/>
    <n v="1"/>
    <n v="1"/>
    <n v="0"/>
    <x v="0"/>
    <n v="0"/>
    <n v="0"/>
    <n v="0"/>
    <n v="0"/>
    <m/>
    <n v="91.7"/>
  </r>
  <r>
    <s v="USR-100356"/>
    <d v="2025-03-24T00:00:00"/>
    <x v="0"/>
    <s v="West"/>
    <s v="Mobile"/>
    <s v="Social"/>
    <s v="Free"/>
    <n v="0"/>
    <n v="0"/>
    <n v="0"/>
    <x v="0"/>
    <n v="0"/>
    <n v="0"/>
    <n v="0"/>
    <n v="0"/>
    <m/>
    <n v="46"/>
  </r>
  <r>
    <s v="USR-100357"/>
    <d v="2025-02-16T00:00:00"/>
    <x v="0"/>
    <s v="West"/>
    <s v="Mobile"/>
    <s v="Organic"/>
    <s v="Basic"/>
    <n v="0"/>
    <n v="0"/>
    <n v="0"/>
    <x v="0"/>
    <n v="0"/>
    <n v="0"/>
    <n v="0"/>
    <n v="0"/>
    <m/>
    <n v="50.8"/>
  </r>
  <r>
    <s v="USR-100358"/>
    <d v="2025-03-19T00:00:00"/>
    <x v="0"/>
    <s v="North"/>
    <s v="Tablet"/>
    <s v="Organic"/>
    <s v="Free"/>
    <n v="1"/>
    <n v="1"/>
    <n v="1"/>
    <x v="0"/>
    <n v="0"/>
    <n v="0"/>
    <n v="0"/>
    <n v="0"/>
    <m/>
    <n v="52.8"/>
  </r>
  <r>
    <s v="USR-100359"/>
    <d v="2025-04-21T00:00:00"/>
    <x v="0"/>
    <s v="South"/>
    <s v="Mobile"/>
    <s v="Organic"/>
    <s v="Basic"/>
    <n v="1"/>
    <n v="1"/>
    <n v="1"/>
    <x v="0"/>
    <n v="0"/>
    <n v="0"/>
    <n v="0"/>
    <n v="0"/>
    <m/>
    <n v="63"/>
  </r>
  <r>
    <s v="USR-100360"/>
    <d v="2025-01-11T00:00:00"/>
    <x v="0"/>
    <s v="West"/>
    <s v="Mobile"/>
    <s v="Organic"/>
    <s v="Free"/>
    <n v="0"/>
    <n v="0"/>
    <n v="0"/>
    <x v="0"/>
    <n v="0"/>
    <n v="0"/>
    <n v="0"/>
    <n v="0"/>
    <m/>
    <n v="28.4"/>
  </r>
  <r>
    <s v="USR-100361"/>
    <d v="2025-04-24T00:00:00"/>
    <x v="0"/>
    <s v="West"/>
    <s v="Desktop"/>
    <s v="Organic"/>
    <s v="Free"/>
    <n v="1"/>
    <n v="1"/>
    <n v="0"/>
    <x v="0"/>
    <n v="0"/>
    <n v="0"/>
    <n v="0"/>
    <n v="0"/>
    <m/>
    <n v="65.599999999999994"/>
  </r>
  <r>
    <s v="USR-100362"/>
    <d v="2025-03-13T00:00:00"/>
    <x v="0"/>
    <s v="North"/>
    <s v="Mobile"/>
    <s v="Social"/>
    <s v="Premium"/>
    <n v="1"/>
    <n v="1"/>
    <n v="1"/>
    <x v="0"/>
    <n v="0"/>
    <n v="0"/>
    <n v="0"/>
    <n v="0"/>
    <m/>
    <n v="54.7"/>
  </r>
  <r>
    <s v="USR-100363"/>
    <d v="2025-01-30T00:00:00"/>
    <x v="0"/>
    <s v="North"/>
    <s v="Mobile"/>
    <s v="Social"/>
    <s v="Basic"/>
    <n v="0"/>
    <n v="0"/>
    <n v="0"/>
    <x v="0"/>
    <n v="0"/>
    <n v="0"/>
    <n v="0"/>
    <n v="0"/>
    <m/>
    <n v="36.1"/>
  </r>
  <r>
    <s v="USR-100364"/>
    <d v="2025-05-08T00:00:00"/>
    <x v="0"/>
    <s v="South"/>
    <s v="Mobile"/>
    <s v="Social"/>
    <s v="Basic"/>
    <n v="1"/>
    <n v="1"/>
    <n v="1"/>
    <x v="0"/>
    <n v="0"/>
    <n v="0"/>
    <n v="0"/>
    <n v="0"/>
    <m/>
    <n v="70.400000000000006"/>
  </r>
  <r>
    <s v="USR-100365"/>
    <d v="2025-01-08T00:00:00"/>
    <x v="0"/>
    <s v="East"/>
    <s v="Desktop"/>
    <s v="Social"/>
    <s v="Free"/>
    <n v="1"/>
    <n v="0"/>
    <n v="0"/>
    <x v="0"/>
    <n v="0"/>
    <n v="0"/>
    <n v="0"/>
    <n v="0"/>
    <m/>
    <n v="56.4"/>
  </r>
  <r>
    <s v="USR-100366"/>
    <d v="2025-05-03T00:00:00"/>
    <x v="0"/>
    <s v="South"/>
    <s v="Mobile"/>
    <s v="Organic"/>
    <s v="Free"/>
    <n v="1"/>
    <n v="0"/>
    <n v="0"/>
    <x v="0"/>
    <n v="0"/>
    <n v="0"/>
    <n v="0"/>
    <n v="0"/>
    <m/>
    <n v="79.2"/>
  </r>
  <r>
    <s v="USR-100367"/>
    <d v="2025-02-12T00:00:00"/>
    <x v="0"/>
    <s v="East"/>
    <s v="Mobile"/>
    <s v="Paid Search"/>
    <s v="Free"/>
    <n v="1"/>
    <n v="1"/>
    <n v="1"/>
    <x v="0"/>
    <n v="0"/>
    <n v="0"/>
    <n v="0"/>
    <n v="0"/>
    <m/>
    <n v="60.1"/>
  </r>
  <r>
    <s v="USR-100368"/>
    <d v="2025-02-25T00:00:00"/>
    <x v="0"/>
    <s v="South"/>
    <s v="Tablet"/>
    <s v="Organic"/>
    <s v="Free"/>
    <n v="0"/>
    <n v="0"/>
    <n v="0"/>
    <x v="0"/>
    <n v="0"/>
    <n v="0"/>
    <n v="0"/>
    <n v="0"/>
    <m/>
    <n v="58"/>
  </r>
  <r>
    <s v="USR-100369"/>
    <d v="2025-04-14T00:00:00"/>
    <x v="0"/>
    <s v="South"/>
    <s v="Mobile"/>
    <s v="Referral"/>
    <s v="Free"/>
    <n v="1"/>
    <n v="1"/>
    <n v="1"/>
    <x v="0"/>
    <n v="0"/>
    <n v="0"/>
    <n v="0"/>
    <n v="0"/>
    <m/>
    <n v="69"/>
  </r>
  <r>
    <s v="USR-100370"/>
    <d v="2025-01-08T00:00:00"/>
    <x v="0"/>
    <s v="North"/>
    <s v="Mobile"/>
    <s v="Referral"/>
    <s v="Premium"/>
    <n v="1"/>
    <n v="1"/>
    <n v="1"/>
    <x v="0"/>
    <n v="0"/>
    <n v="1"/>
    <n v="1"/>
    <n v="0"/>
    <m/>
    <n v="80.8"/>
  </r>
  <r>
    <s v="USR-100371"/>
    <d v="2025-03-14T00:00:00"/>
    <x v="0"/>
    <s v="East"/>
    <s v="Mobile"/>
    <s v="Email"/>
    <s v="Free"/>
    <n v="0"/>
    <n v="0"/>
    <n v="0"/>
    <x v="0"/>
    <n v="0"/>
    <n v="0"/>
    <n v="0"/>
    <n v="0"/>
    <m/>
    <n v="32.799999999999997"/>
  </r>
  <r>
    <s v="USR-100372"/>
    <d v="2025-04-29T00:00:00"/>
    <x v="0"/>
    <s v="North"/>
    <s v="Desktop"/>
    <s v="Paid Search"/>
    <s v="Premium"/>
    <n v="1"/>
    <n v="0"/>
    <n v="0"/>
    <x v="0"/>
    <n v="0"/>
    <n v="0"/>
    <n v="0"/>
    <n v="0"/>
    <m/>
    <n v="56"/>
  </r>
  <r>
    <s v="USR-100373"/>
    <d v="2025-05-01T00:00:00"/>
    <x v="0"/>
    <s v="East"/>
    <s v="Desktop"/>
    <s v="Social"/>
    <s v="Free"/>
    <n v="1"/>
    <n v="0"/>
    <n v="0"/>
    <x v="0"/>
    <n v="0"/>
    <n v="0"/>
    <n v="0"/>
    <n v="0"/>
    <m/>
    <n v="76.400000000000006"/>
  </r>
  <r>
    <s v="USR-100374"/>
    <d v="2025-03-19T00:00:00"/>
    <x v="0"/>
    <s v="North"/>
    <s v="Mobile"/>
    <s v="Referral"/>
    <s v="Free"/>
    <n v="1"/>
    <n v="0"/>
    <n v="0"/>
    <x v="0"/>
    <n v="0"/>
    <n v="0"/>
    <n v="0"/>
    <n v="0"/>
    <m/>
    <n v="28.5"/>
  </r>
  <r>
    <s v="USR-100375"/>
    <d v="2025-05-01T00:00:00"/>
    <x v="0"/>
    <s v="South"/>
    <s v="Desktop"/>
    <s v="Social"/>
    <s v="Basic"/>
    <n v="1"/>
    <n v="1"/>
    <n v="1"/>
    <x v="0"/>
    <n v="0"/>
    <n v="0"/>
    <n v="0"/>
    <n v="0"/>
    <m/>
    <n v="48.3"/>
  </r>
  <r>
    <s v="USR-100376"/>
    <d v="2025-03-14T00:00:00"/>
    <x v="0"/>
    <s v="West"/>
    <s v="Mobile"/>
    <s v="Organic"/>
    <s v="Free"/>
    <n v="1"/>
    <n v="1"/>
    <n v="0"/>
    <x v="0"/>
    <n v="0"/>
    <n v="0"/>
    <n v="0"/>
    <n v="0"/>
    <m/>
    <n v="43.4"/>
  </r>
  <r>
    <s v="USR-100377"/>
    <d v="2025-03-23T00:00:00"/>
    <x v="0"/>
    <s v="North"/>
    <s v="Mobile"/>
    <s v="Paid Search"/>
    <s v="Free"/>
    <n v="0"/>
    <n v="0"/>
    <n v="0"/>
    <x v="0"/>
    <n v="0"/>
    <n v="0"/>
    <n v="0"/>
    <n v="0"/>
    <m/>
    <n v="43"/>
  </r>
  <r>
    <s v="USR-100378"/>
    <d v="2025-02-08T00:00:00"/>
    <x v="0"/>
    <s v="East"/>
    <s v="Mobile"/>
    <s v="Referral"/>
    <s v="Basic"/>
    <n v="1"/>
    <n v="1"/>
    <n v="1"/>
    <x v="0"/>
    <n v="0"/>
    <n v="0"/>
    <n v="0"/>
    <n v="0"/>
    <m/>
    <n v="91.8"/>
  </r>
  <r>
    <s v="USR-100379"/>
    <d v="2025-04-15T00:00:00"/>
    <x v="0"/>
    <s v="West"/>
    <s v="Tablet"/>
    <s v="Paid Search"/>
    <s v="Basic"/>
    <n v="1"/>
    <n v="0"/>
    <n v="0"/>
    <x v="0"/>
    <n v="0"/>
    <n v="1"/>
    <n v="1"/>
    <n v="0"/>
    <m/>
    <n v="69.3"/>
  </r>
  <r>
    <s v="USR-100380"/>
    <d v="2025-01-03T00:00:00"/>
    <x v="0"/>
    <s v="South"/>
    <s v="Desktop"/>
    <s v="Paid Search"/>
    <s v="Basic"/>
    <n v="1"/>
    <n v="0"/>
    <n v="0"/>
    <x v="0"/>
    <n v="0"/>
    <n v="0"/>
    <n v="0"/>
    <n v="0"/>
    <m/>
    <n v="58.9"/>
  </r>
  <r>
    <s v="USR-100381"/>
    <d v="2025-03-23T00:00:00"/>
    <x v="0"/>
    <s v="West"/>
    <s v="Mobile"/>
    <s v="Social"/>
    <s v="Free"/>
    <n v="1"/>
    <n v="1"/>
    <n v="1"/>
    <x v="0"/>
    <n v="0"/>
    <n v="0"/>
    <n v="0"/>
    <n v="0"/>
    <m/>
    <n v="76"/>
  </r>
  <r>
    <s v="USR-100382"/>
    <d v="2025-05-27T00:00:00"/>
    <x v="0"/>
    <s v="South"/>
    <s v="Mobile"/>
    <s v="Referral"/>
    <s v="Premium"/>
    <n v="1"/>
    <n v="0"/>
    <n v="0"/>
    <x v="0"/>
    <n v="0"/>
    <n v="0"/>
    <n v="0"/>
    <n v="0"/>
    <m/>
    <n v="46"/>
  </r>
  <r>
    <s v="USR-100383"/>
    <d v="2025-04-30T00:00:00"/>
    <x v="0"/>
    <s v="East"/>
    <s v="Mobile"/>
    <s v="Organic"/>
    <s v="Free"/>
    <n v="1"/>
    <n v="0"/>
    <n v="0"/>
    <x v="0"/>
    <n v="0"/>
    <n v="0"/>
    <n v="0"/>
    <n v="0"/>
    <m/>
    <n v="54.1"/>
  </r>
  <r>
    <s v="USR-100384"/>
    <d v="2025-03-07T00:00:00"/>
    <x v="0"/>
    <s v="West"/>
    <s v="Mobile"/>
    <s v="Social"/>
    <s v="Basic"/>
    <n v="1"/>
    <n v="0"/>
    <n v="0"/>
    <x v="0"/>
    <n v="0"/>
    <n v="0"/>
    <n v="0"/>
    <n v="0"/>
    <m/>
    <n v="82.4"/>
  </r>
  <r>
    <s v="USR-100385"/>
    <d v="2025-05-10T00:00:00"/>
    <x v="0"/>
    <s v="South"/>
    <s v="Mobile"/>
    <s v="Organic"/>
    <s v="Basic"/>
    <n v="1"/>
    <n v="1"/>
    <n v="1"/>
    <x v="0"/>
    <n v="0"/>
    <n v="0"/>
    <n v="0"/>
    <n v="0"/>
    <m/>
    <n v="71.900000000000006"/>
  </r>
  <r>
    <s v="USR-100386"/>
    <d v="2025-05-22T00:00:00"/>
    <x v="0"/>
    <s v="East"/>
    <s v="Mobile"/>
    <s v="Organic"/>
    <s v="Free"/>
    <n v="0"/>
    <n v="0"/>
    <n v="0"/>
    <x v="0"/>
    <n v="0"/>
    <n v="2"/>
    <n v="1"/>
    <n v="0"/>
    <m/>
    <n v="38"/>
  </r>
  <r>
    <s v="USR-100387"/>
    <d v="2025-02-09T00:00:00"/>
    <x v="0"/>
    <s v="East"/>
    <s v="Mobile"/>
    <s v="Paid Search"/>
    <s v="Free"/>
    <n v="1"/>
    <n v="1"/>
    <n v="0"/>
    <x v="0"/>
    <n v="0"/>
    <n v="0"/>
    <n v="0"/>
    <n v="0"/>
    <m/>
    <n v="43.7"/>
  </r>
  <r>
    <s v="USR-100388"/>
    <d v="2025-05-30T00:00:00"/>
    <x v="0"/>
    <s v="West"/>
    <s v="Desktop"/>
    <s v="Organic"/>
    <s v="Premium"/>
    <n v="1"/>
    <n v="0"/>
    <n v="0"/>
    <x v="0"/>
    <n v="0"/>
    <n v="1"/>
    <n v="1"/>
    <n v="0"/>
    <m/>
    <n v="32.200000000000003"/>
  </r>
  <r>
    <s v="USR-100389"/>
    <d v="2025-05-01T00:00:00"/>
    <x v="0"/>
    <s v="South"/>
    <s v="Mobile"/>
    <s v="Organic"/>
    <s v="Premium"/>
    <n v="1"/>
    <n v="0"/>
    <n v="0"/>
    <x v="0"/>
    <n v="0"/>
    <n v="0"/>
    <n v="0"/>
    <n v="0"/>
    <m/>
    <n v="61"/>
  </r>
  <r>
    <s v="USR-100390"/>
    <d v="2025-01-03T00:00:00"/>
    <x v="0"/>
    <s v="South"/>
    <s v="Mobile"/>
    <s v="Paid Search"/>
    <s v="Free"/>
    <n v="1"/>
    <n v="0"/>
    <n v="0"/>
    <x v="0"/>
    <n v="0"/>
    <n v="0"/>
    <n v="0"/>
    <n v="0"/>
    <m/>
    <n v="49"/>
  </r>
  <r>
    <s v="USR-100391"/>
    <d v="2025-02-13T00:00:00"/>
    <x v="0"/>
    <s v="East"/>
    <s v="Mobile"/>
    <s v="Organic"/>
    <s v="Free"/>
    <n v="0"/>
    <n v="0"/>
    <n v="0"/>
    <x v="0"/>
    <n v="0"/>
    <n v="0"/>
    <n v="0"/>
    <n v="0"/>
    <m/>
    <n v="48.1"/>
  </r>
  <r>
    <s v="USR-100392"/>
    <d v="2025-01-14T00:00:00"/>
    <x v="0"/>
    <s v="South"/>
    <s v="Desktop"/>
    <s v="Organic"/>
    <s v="Free"/>
    <n v="0"/>
    <n v="0"/>
    <n v="0"/>
    <x v="0"/>
    <n v="0"/>
    <n v="2"/>
    <n v="1"/>
    <n v="0"/>
    <m/>
    <n v="46.3"/>
  </r>
  <r>
    <s v="USR-100393"/>
    <d v="2025-02-24T00:00:00"/>
    <x v="0"/>
    <s v="North"/>
    <s v="Mobile"/>
    <s v="Referral"/>
    <s v="Free"/>
    <n v="0"/>
    <n v="0"/>
    <n v="0"/>
    <x v="0"/>
    <n v="0"/>
    <n v="0"/>
    <n v="0"/>
    <n v="0"/>
    <m/>
    <n v="64"/>
  </r>
  <r>
    <s v="USR-100394"/>
    <d v="2025-05-16T00:00:00"/>
    <x v="0"/>
    <s v="West"/>
    <s v="Desktop"/>
    <s v="Organic"/>
    <s v="Basic"/>
    <n v="1"/>
    <n v="1"/>
    <n v="0"/>
    <x v="0"/>
    <n v="0"/>
    <n v="0"/>
    <n v="0"/>
    <n v="0"/>
    <m/>
    <n v="56.2"/>
  </r>
  <r>
    <s v="USR-100395"/>
    <d v="2025-04-29T00:00:00"/>
    <x v="0"/>
    <s v="North"/>
    <s v="Mobile"/>
    <s v="Paid Search"/>
    <s v="Free"/>
    <n v="1"/>
    <n v="1"/>
    <n v="1"/>
    <x v="0"/>
    <n v="0"/>
    <n v="0"/>
    <n v="0"/>
    <n v="0"/>
    <m/>
    <n v="77.5"/>
  </r>
  <r>
    <s v="USR-100396"/>
    <d v="2025-04-30T00:00:00"/>
    <x v="0"/>
    <s v="South"/>
    <s v="Desktop"/>
    <s v="Email"/>
    <s v="Basic"/>
    <n v="1"/>
    <n v="0"/>
    <n v="0"/>
    <x v="0"/>
    <n v="0"/>
    <n v="0"/>
    <n v="0"/>
    <n v="0"/>
    <m/>
    <n v="59.9"/>
  </r>
  <r>
    <s v="USR-100397"/>
    <d v="2025-01-09T00:00:00"/>
    <x v="0"/>
    <s v="South"/>
    <s v="Desktop"/>
    <s v="Organic"/>
    <s v="Free"/>
    <n v="1"/>
    <n v="1"/>
    <n v="0"/>
    <x v="0"/>
    <n v="0"/>
    <n v="0"/>
    <n v="0"/>
    <n v="0"/>
    <m/>
    <n v="63"/>
  </r>
  <r>
    <s v="USR-100398"/>
    <d v="2025-04-25T00:00:00"/>
    <x v="0"/>
    <s v="South"/>
    <s v="Mobile"/>
    <s v="Organic"/>
    <s v="Free"/>
    <n v="1"/>
    <n v="1"/>
    <n v="0"/>
    <x v="0"/>
    <n v="0"/>
    <n v="0"/>
    <n v="0"/>
    <n v="0"/>
    <m/>
    <n v="76.5"/>
  </r>
  <r>
    <s v="USR-100399"/>
    <d v="2025-03-12T00:00:00"/>
    <x v="0"/>
    <s v="North"/>
    <s v="Desktop"/>
    <s v="Paid Search"/>
    <s v="Free"/>
    <n v="1"/>
    <n v="0"/>
    <n v="0"/>
    <x v="0"/>
    <n v="0"/>
    <n v="0"/>
    <n v="0"/>
    <n v="0"/>
    <m/>
    <n v="39.700000000000003"/>
  </r>
  <r>
    <s v="USR-100400"/>
    <d v="2025-03-20T00:00:00"/>
    <x v="0"/>
    <s v="North"/>
    <s v="Mobile"/>
    <s v="Organic"/>
    <s v="Free"/>
    <n v="1"/>
    <n v="1"/>
    <n v="0"/>
    <x v="0"/>
    <n v="0"/>
    <n v="0"/>
    <n v="0"/>
    <n v="0"/>
    <m/>
    <n v="80.2"/>
  </r>
  <r>
    <s v="USR-100401"/>
    <d v="2025-02-18T00:00:00"/>
    <x v="0"/>
    <s v="West"/>
    <s v="Mobile"/>
    <s v="Paid Search"/>
    <s v="Free"/>
    <n v="1"/>
    <n v="0"/>
    <n v="0"/>
    <x v="0"/>
    <n v="0"/>
    <n v="0"/>
    <n v="0"/>
    <n v="0"/>
    <m/>
    <n v="72.2"/>
  </r>
  <r>
    <s v="USR-100402"/>
    <d v="2025-01-22T00:00:00"/>
    <x v="0"/>
    <s v="North"/>
    <s v="Mobile"/>
    <s v="Social"/>
    <s v="Basic"/>
    <n v="0"/>
    <n v="0"/>
    <n v="0"/>
    <x v="0"/>
    <n v="0"/>
    <n v="0"/>
    <n v="0"/>
    <n v="0"/>
    <m/>
    <n v="56"/>
  </r>
  <r>
    <s v="USR-100403"/>
    <d v="2025-02-08T00:00:00"/>
    <x v="0"/>
    <s v="West"/>
    <s v="Mobile"/>
    <s v="Email"/>
    <s v="Basic"/>
    <n v="1"/>
    <n v="1"/>
    <n v="1"/>
    <x v="0"/>
    <n v="0"/>
    <n v="0"/>
    <n v="0"/>
    <n v="0"/>
    <m/>
    <n v="69.099999999999994"/>
  </r>
  <r>
    <s v="USR-100404"/>
    <d v="2025-01-20T00:00:00"/>
    <x v="0"/>
    <s v="North"/>
    <s v="Mobile"/>
    <s v="Email"/>
    <s v="Premium"/>
    <n v="0"/>
    <n v="0"/>
    <n v="0"/>
    <x v="0"/>
    <n v="0"/>
    <n v="1"/>
    <n v="1"/>
    <n v="0"/>
    <m/>
    <n v="70.599999999999994"/>
  </r>
  <r>
    <s v="USR-100405"/>
    <d v="2025-04-22T00:00:00"/>
    <x v="0"/>
    <s v="West"/>
    <s v="Desktop"/>
    <s v="Referral"/>
    <s v="Free"/>
    <n v="1"/>
    <n v="0"/>
    <n v="0"/>
    <x v="0"/>
    <n v="0"/>
    <n v="0"/>
    <n v="0"/>
    <n v="0"/>
    <m/>
    <n v="57.9"/>
  </r>
  <r>
    <s v="USR-100406"/>
    <d v="2025-01-22T00:00:00"/>
    <x v="0"/>
    <s v="East"/>
    <s v="Mobile"/>
    <s v="Organic"/>
    <s v="Basic"/>
    <n v="1"/>
    <n v="1"/>
    <n v="0"/>
    <x v="0"/>
    <n v="0"/>
    <n v="0"/>
    <n v="0"/>
    <n v="0"/>
    <m/>
    <n v="41.4"/>
  </r>
  <r>
    <s v="USR-100407"/>
    <d v="2025-05-11T00:00:00"/>
    <x v="0"/>
    <s v="West"/>
    <s v="Mobile"/>
    <s v="Organic"/>
    <s v="Basic"/>
    <n v="1"/>
    <n v="0"/>
    <n v="0"/>
    <x v="0"/>
    <n v="0"/>
    <n v="0"/>
    <n v="0"/>
    <n v="0"/>
    <m/>
    <n v="60.9"/>
  </r>
  <r>
    <s v="USR-100408"/>
    <d v="2025-02-06T00:00:00"/>
    <x v="0"/>
    <s v="South"/>
    <s v="Mobile"/>
    <s v="Organic"/>
    <s v="Basic"/>
    <n v="0"/>
    <n v="0"/>
    <n v="0"/>
    <x v="0"/>
    <n v="0"/>
    <n v="1"/>
    <n v="1"/>
    <n v="0"/>
    <m/>
    <n v="63.8"/>
  </r>
  <r>
    <s v="USR-100409"/>
    <d v="2025-02-21T00:00:00"/>
    <x v="0"/>
    <s v="North"/>
    <s v="Desktop"/>
    <s v="Organic"/>
    <s v="Premium"/>
    <n v="1"/>
    <n v="0"/>
    <n v="0"/>
    <x v="0"/>
    <n v="0"/>
    <n v="0"/>
    <n v="0"/>
    <n v="0"/>
    <m/>
    <n v="79.2"/>
  </r>
  <r>
    <s v="USR-100410"/>
    <d v="2025-01-13T00:00:00"/>
    <x v="0"/>
    <s v="West"/>
    <s v="Mobile"/>
    <s v="Email"/>
    <s v="Premium"/>
    <n v="1"/>
    <n v="1"/>
    <n v="1"/>
    <x v="0"/>
    <n v="0"/>
    <n v="0"/>
    <n v="0"/>
    <n v="0"/>
    <m/>
    <n v="53.3"/>
  </r>
  <r>
    <s v="USR-100411"/>
    <d v="2025-03-07T00:00:00"/>
    <x v="0"/>
    <s v="North"/>
    <s v="Mobile"/>
    <s v="Referral"/>
    <s v="Premium"/>
    <n v="1"/>
    <n v="1"/>
    <n v="1"/>
    <x v="1"/>
    <n v="2144.8200000000002"/>
    <n v="0"/>
    <n v="0"/>
    <n v="0"/>
    <n v="6"/>
    <n v="52.3"/>
  </r>
  <r>
    <s v="USR-100412"/>
    <d v="2025-02-26T00:00:00"/>
    <x v="0"/>
    <s v="West"/>
    <s v="Desktop"/>
    <s v="Organic"/>
    <s v="Basic"/>
    <n v="1"/>
    <n v="1"/>
    <n v="0"/>
    <x v="0"/>
    <n v="0"/>
    <n v="0"/>
    <n v="0"/>
    <n v="0"/>
    <m/>
    <n v="62.4"/>
  </r>
  <r>
    <s v="USR-100413"/>
    <d v="2025-05-05T00:00:00"/>
    <x v="0"/>
    <s v="North"/>
    <s v="Mobile"/>
    <s v="Referral"/>
    <s v="Premium"/>
    <n v="1"/>
    <n v="0"/>
    <n v="0"/>
    <x v="0"/>
    <n v="0"/>
    <n v="0"/>
    <n v="0"/>
    <n v="0"/>
    <m/>
    <n v="45.5"/>
  </r>
  <r>
    <s v="USR-100414"/>
    <d v="2025-01-08T00:00:00"/>
    <x v="0"/>
    <s v="East"/>
    <s v="Desktop"/>
    <s v="Organic"/>
    <s v="Basic"/>
    <n v="0"/>
    <n v="0"/>
    <n v="0"/>
    <x v="0"/>
    <n v="0"/>
    <n v="1"/>
    <n v="1"/>
    <n v="0"/>
    <m/>
    <n v="72.599999999999994"/>
  </r>
  <r>
    <s v="USR-100415"/>
    <d v="2025-03-19T00:00:00"/>
    <x v="0"/>
    <s v="South"/>
    <s v="Mobile"/>
    <s v="Email"/>
    <s v="Premium"/>
    <n v="1"/>
    <n v="1"/>
    <n v="1"/>
    <x v="0"/>
    <n v="0"/>
    <n v="0"/>
    <n v="0"/>
    <n v="0"/>
    <m/>
    <n v="50.1"/>
  </r>
  <r>
    <s v="USR-100416"/>
    <d v="2025-01-30T00:00:00"/>
    <x v="0"/>
    <s v="East"/>
    <s v="Desktop"/>
    <s v="Paid Search"/>
    <s v="Free"/>
    <n v="1"/>
    <n v="1"/>
    <n v="1"/>
    <x v="0"/>
    <n v="0"/>
    <n v="2"/>
    <n v="1"/>
    <n v="0"/>
    <m/>
    <n v="58.1"/>
  </r>
  <r>
    <s v="USR-100417"/>
    <d v="2025-04-28T00:00:00"/>
    <x v="0"/>
    <s v="East"/>
    <s v="Mobile"/>
    <s v="Organic"/>
    <s v="Basic"/>
    <n v="1"/>
    <n v="0"/>
    <n v="0"/>
    <x v="0"/>
    <n v="0"/>
    <n v="0"/>
    <n v="0"/>
    <n v="0"/>
    <m/>
    <n v="42.9"/>
  </r>
  <r>
    <s v="USR-100418"/>
    <d v="2025-03-07T00:00:00"/>
    <x v="0"/>
    <s v="North"/>
    <s v="Mobile"/>
    <s v="Referral"/>
    <s v="Basic"/>
    <n v="0"/>
    <n v="0"/>
    <n v="0"/>
    <x v="0"/>
    <n v="0"/>
    <n v="0"/>
    <n v="0"/>
    <n v="0"/>
    <m/>
    <n v="69.7"/>
  </r>
  <r>
    <s v="USR-100419"/>
    <d v="2025-04-07T00:00:00"/>
    <x v="0"/>
    <s v="North"/>
    <s v="Desktop"/>
    <s v="Organic"/>
    <s v="Free"/>
    <n v="0"/>
    <n v="0"/>
    <n v="0"/>
    <x v="0"/>
    <n v="0"/>
    <n v="0"/>
    <n v="0"/>
    <n v="0"/>
    <m/>
    <n v="63.3"/>
  </r>
  <r>
    <s v="USR-100420"/>
    <d v="2025-05-08T00:00:00"/>
    <x v="0"/>
    <s v="North"/>
    <s v="Desktop"/>
    <s v="Organic"/>
    <s v="Premium"/>
    <n v="1"/>
    <n v="0"/>
    <n v="0"/>
    <x v="0"/>
    <n v="0"/>
    <n v="0"/>
    <n v="0"/>
    <n v="0"/>
    <m/>
    <n v="71.2"/>
  </r>
  <r>
    <s v="USR-100421"/>
    <d v="2025-04-15T00:00:00"/>
    <x v="0"/>
    <s v="South"/>
    <s v="Mobile"/>
    <s v="Email"/>
    <s v="Free"/>
    <n v="1"/>
    <n v="0"/>
    <n v="0"/>
    <x v="0"/>
    <n v="0"/>
    <n v="0"/>
    <n v="0"/>
    <n v="0"/>
    <m/>
    <n v="39.1"/>
  </r>
  <r>
    <s v="USR-100422"/>
    <d v="2025-04-20T00:00:00"/>
    <x v="0"/>
    <s v="East"/>
    <s v="Desktop"/>
    <s v="Social"/>
    <s v="Free"/>
    <n v="1"/>
    <n v="0"/>
    <n v="0"/>
    <x v="0"/>
    <n v="0"/>
    <n v="0"/>
    <n v="0"/>
    <n v="0"/>
    <m/>
    <n v="42.6"/>
  </r>
  <r>
    <s v="USR-100423"/>
    <d v="2025-05-30T00:00:00"/>
    <x v="0"/>
    <s v="South"/>
    <s v="Tablet"/>
    <s v="Organic"/>
    <s v="Free"/>
    <n v="0"/>
    <n v="0"/>
    <n v="0"/>
    <x v="0"/>
    <n v="0"/>
    <n v="0"/>
    <n v="0"/>
    <n v="0"/>
    <m/>
    <n v="74.400000000000006"/>
  </r>
  <r>
    <s v="USR-100424"/>
    <d v="2025-02-13T00:00:00"/>
    <x v="0"/>
    <s v="West"/>
    <s v="Mobile"/>
    <s v="Referral"/>
    <s v="Free"/>
    <n v="0"/>
    <n v="0"/>
    <n v="0"/>
    <x v="0"/>
    <n v="0"/>
    <n v="0"/>
    <n v="0"/>
    <n v="0"/>
    <m/>
    <n v="55.6"/>
  </r>
  <r>
    <s v="USR-100425"/>
    <d v="2025-04-28T00:00:00"/>
    <x v="0"/>
    <s v="West"/>
    <s v="Mobile"/>
    <s v="Social"/>
    <s v="Free"/>
    <n v="1"/>
    <n v="0"/>
    <n v="0"/>
    <x v="0"/>
    <n v="0"/>
    <n v="0"/>
    <n v="0"/>
    <n v="0"/>
    <m/>
    <n v="35.799999999999997"/>
  </r>
  <r>
    <s v="USR-100426"/>
    <d v="2025-02-12T00:00:00"/>
    <x v="0"/>
    <s v="North"/>
    <s v="Mobile"/>
    <s v="Paid Search"/>
    <s v="Basic"/>
    <n v="1"/>
    <n v="0"/>
    <n v="0"/>
    <x v="0"/>
    <n v="0"/>
    <n v="1"/>
    <n v="1"/>
    <n v="0"/>
    <m/>
    <n v="28.2"/>
  </r>
  <r>
    <s v="USR-100427"/>
    <d v="2025-02-12T00:00:00"/>
    <x v="0"/>
    <s v="East"/>
    <s v="Mobile"/>
    <s v="Organic"/>
    <s v="Free"/>
    <n v="0"/>
    <n v="0"/>
    <n v="0"/>
    <x v="0"/>
    <n v="0"/>
    <n v="2"/>
    <n v="1"/>
    <n v="0"/>
    <m/>
    <n v="44.4"/>
  </r>
  <r>
    <s v="USR-100428"/>
    <d v="2025-03-27T00:00:00"/>
    <x v="0"/>
    <s v="North"/>
    <s v="Mobile"/>
    <s v="Email"/>
    <s v="Premium"/>
    <n v="1"/>
    <n v="0"/>
    <n v="0"/>
    <x v="0"/>
    <n v="0"/>
    <n v="0"/>
    <n v="0"/>
    <n v="0"/>
    <m/>
    <n v="49.9"/>
  </r>
  <r>
    <s v="USR-100429"/>
    <d v="2025-04-12T00:00:00"/>
    <x v="0"/>
    <s v="South"/>
    <s v="Desktop"/>
    <s v="Organic"/>
    <s v="Free"/>
    <n v="0"/>
    <n v="0"/>
    <n v="0"/>
    <x v="0"/>
    <n v="0"/>
    <n v="0"/>
    <n v="0"/>
    <n v="0"/>
    <m/>
    <n v="40.4"/>
  </r>
  <r>
    <s v="USR-100430"/>
    <d v="2025-01-30T00:00:00"/>
    <x v="0"/>
    <s v="West"/>
    <s v="Mobile"/>
    <s v="Social"/>
    <s v="Free"/>
    <n v="0"/>
    <n v="0"/>
    <n v="0"/>
    <x v="0"/>
    <n v="0"/>
    <n v="0"/>
    <n v="0"/>
    <n v="0"/>
    <m/>
    <n v="60.4"/>
  </r>
  <r>
    <s v="USR-100431"/>
    <d v="2025-05-28T00:00:00"/>
    <x v="0"/>
    <s v="West"/>
    <s v="Mobile"/>
    <s v="Social"/>
    <s v="Premium"/>
    <n v="0"/>
    <n v="0"/>
    <n v="0"/>
    <x v="0"/>
    <n v="0"/>
    <n v="1"/>
    <n v="1"/>
    <n v="0"/>
    <m/>
    <n v="52.4"/>
  </r>
  <r>
    <s v="USR-100432"/>
    <d v="2025-05-01T00:00:00"/>
    <x v="0"/>
    <s v="South"/>
    <s v="Mobile"/>
    <s v="Organic"/>
    <s v="Basic"/>
    <n v="1"/>
    <n v="1"/>
    <n v="0"/>
    <x v="0"/>
    <n v="0"/>
    <n v="0"/>
    <n v="0"/>
    <n v="0"/>
    <m/>
    <n v="48.8"/>
  </r>
  <r>
    <s v="USR-100096"/>
    <d v="2025-02-05T00:00:00"/>
    <x v="0"/>
    <s v="East"/>
    <s v="Mobile"/>
    <s v="Social"/>
    <s v="Free"/>
    <n v="0"/>
    <n v="0"/>
    <n v="0"/>
    <x v="0"/>
    <n v="0"/>
    <n v="0"/>
    <n v="0"/>
    <n v="0"/>
    <m/>
    <n v="68"/>
  </r>
  <r>
    <s v="USR-100434"/>
    <d v="2025-01-10T00:00:00"/>
    <x v="0"/>
    <s v="South"/>
    <s v="Desktop"/>
    <s v="Social"/>
    <s v="Basic"/>
    <n v="0"/>
    <n v="0"/>
    <n v="0"/>
    <x v="0"/>
    <n v="0"/>
    <n v="0"/>
    <n v="0"/>
    <n v="0"/>
    <m/>
    <n v="68.2"/>
  </r>
  <r>
    <s v="USR-100435"/>
    <d v="2025-05-02T00:00:00"/>
    <x v="0"/>
    <s v="North"/>
    <s v="Desktop"/>
    <s v="Organic"/>
    <s v="Basic"/>
    <n v="1"/>
    <n v="0"/>
    <n v="0"/>
    <x v="0"/>
    <n v="0"/>
    <n v="0"/>
    <n v="0"/>
    <n v="0"/>
    <m/>
    <n v="65.599999999999994"/>
  </r>
  <r>
    <s v="USR-100436"/>
    <d v="2025-05-26T00:00:00"/>
    <x v="0"/>
    <s v="North"/>
    <s v="Desktop"/>
    <s v="Organic"/>
    <s v="Basic"/>
    <n v="1"/>
    <n v="0"/>
    <n v="0"/>
    <x v="0"/>
    <n v="0"/>
    <n v="0"/>
    <n v="0"/>
    <n v="0"/>
    <m/>
    <n v="65.400000000000006"/>
  </r>
  <r>
    <s v="USR-100437"/>
    <d v="2025-01-12T00:00:00"/>
    <x v="0"/>
    <s v="West"/>
    <s v="Mobile"/>
    <s v="Organic"/>
    <s v="Basic"/>
    <n v="1"/>
    <n v="0"/>
    <n v="0"/>
    <x v="0"/>
    <n v="0"/>
    <n v="0"/>
    <n v="0"/>
    <n v="0"/>
    <m/>
    <n v="78.900000000000006"/>
  </r>
  <r>
    <s v="USR-100438"/>
    <d v="2025-05-27T00:00:00"/>
    <x v="0"/>
    <s v="East"/>
    <s v="Mobile"/>
    <s v="Paid Search"/>
    <s v="Basic"/>
    <n v="1"/>
    <n v="1"/>
    <n v="1"/>
    <x v="0"/>
    <n v="0"/>
    <n v="0"/>
    <n v="0"/>
    <n v="0"/>
    <m/>
    <n v="78.3"/>
  </r>
  <r>
    <s v="USR-100439"/>
    <d v="2025-05-22T00:00:00"/>
    <x v="0"/>
    <s v="West"/>
    <s v="Desktop"/>
    <s v="Email"/>
    <s v="Basic"/>
    <n v="0"/>
    <n v="0"/>
    <n v="0"/>
    <x v="0"/>
    <n v="0"/>
    <n v="0"/>
    <n v="0"/>
    <n v="0"/>
    <m/>
    <n v="49.2"/>
  </r>
  <r>
    <s v="USR-100440"/>
    <d v="2025-04-01T00:00:00"/>
    <x v="0"/>
    <s v="East"/>
    <s v="Mobile"/>
    <s v="Social"/>
    <s v="Premium"/>
    <n v="1"/>
    <n v="1"/>
    <n v="1"/>
    <x v="1"/>
    <n v="1518.83"/>
    <n v="0"/>
    <n v="0"/>
    <n v="0"/>
    <n v="9"/>
    <n v="32.200000000000003"/>
  </r>
  <r>
    <s v="USR-100441"/>
    <d v="2025-01-22T00:00:00"/>
    <x v="0"/>
    <s v="North"/>
    <s v="Mobile"/>
    <s v="Paid Search"/>
    <s v="Basic"/>
    <n v="1"/>
    <n v="1"/>
    <n v="1"/>
    <x v="0"/>
    <n v="0"/>
    <n v="0"/>
    <n v="0"/>
    <n v="0"/>
    <m/>
    <n v="46.3"/>
  </r>
  <r>
    <s v="USR-100442"/>
    <d v="2025-05-24T00:00:00"/>
    <x v="0"/>
    <s v="East"/>
    <s v="Mobile"/>
    <s v="Paid Search"/>
    <s v="Basic"/>
    <n v="1"/>
    <n v="0"/>
    <n v="0"/>
    <x v="0"/>
    <n v="0"/>
    <n v="0"/>
    <n v="0"/>
    <n v="0"/>
    <m/>
    <n v="55.7"/>
  </r>
  <r>
    <s v="USR-100443"/>
    <d v="2025-04-25T00:00:00"/>
    <x v="0"/>
    <s v="South"/>
    <s v="Mobile"/>
    <s v="Social"/>
    <s v="Free"/>
    <n v="1"/>
    <n v="0"/>
    <n v="0"/>
    <x v="0"/>
    <n v="0"/>
    <n v="0"/>
    <n v="0"/>
    <n v="0"/>
    <m/>
    <n v="44.5"/>
  </r>
  <r>
    <s v="USR-100444"/>
    <d v="2025-04-12T00:00:00"/>
    <x v="0"/>
    <s v="West"/>
    <s v="Desktop"/>
    <s v="Referral"/>
    <s v="Free"/>
    <n v="1"/>
    <n v="1"/>
    <n v="1"/>
    <x v="0"/>
    <n v="0"/>
    <n v="1"/>
    <n v="1"/>
    <n v="0"/>
    <m/>
    <n v="47.9"/>
  </r>
  <r>
    <s v="USR-100445"/>
    <d v="2025-04-23T00:00:00"/>
    <x v="0"/>
    <s v="South"/>
    <s v="Mobile"/>
    <s v="Organic"/>
    <s v="Premium"/>
    <n v="1"/>
    <n v="0"/>
    <n v="0"/>
    <x v="0"/>
    <n v="0"/>
    <n v="0"/>
    <n v="0"/>
    <n v="0"/>
    <m/>
    <n v="43.9"/>
  </r>
  <r>
    <s v="USR-100446"/>
    <d v="2025-03-30T00:00:00"/>
    <x v="0"/>
    <s v="North"/>
    <s v="Desktop"/>
    <s v="Referral"/>
    <s v="Free"/>
    <n v="1"/>
    <n v="1"/>
    <n v="1"/>
    <x v="0"/>
    <n v="0"/>
    <n v="1"/>
    <n v="1"/>
    <n v="0"/>
    <m/>
    <n v="67.7"/>
  </r>
  <r>
    <s v="USR-100447"/>
    <d v="2025-01-18T00:00:00"/>
    <x v="0"/>
    <s v="East"/>
    <s v="Mobile"/>
    <s v="Referral"/>
    <s v="Basic"/>
    <n v="0"/>
    <n v="0"/>
    <n v="0"/>
    <x v="0"/>
    <n v="0"/>
    <n v="0"/>
    <n v="0"/>
    <n v="0"/>
    <m/>
    <n v="43.7"/>
  </r>
  <r>
    <s v="USR-100448"/>
    <d v="2025-04-09T00:00:00"/>
    <x v="0"/>
    <s v="East"/>
    <s v="Mobile"/>
    <s v="Organic"/>
    <s v="Free"/>
    <n v="1"/>
    <n v="0"/>
    <n v="0"/>
    <x v="0"/>
    <n v="0"/>
    <n v="0"/>
    <n v="0"/>
    <n v="0"/>
    <m/>
    <n v="68.8"/>
  </r>
  <r>
    <s v="USR-100449"/>
    <d v="2025-01-11T00:00:00"/>
    <x v="0"/>
    <s v="West"/>
    <s v="Mobile"/>
    <s v="Organic"/>
    <s v="Free"/>
    <n v="1"/>
    <n v="1"/>
    <n v="1"/>
    <x v="0"/>
    <n v="0"/>
    <n v="0"/>
    <n v="0"/>
    <n v="0"/>
    <m/>
    <n v="59.2"/>
  </r>
  <r>
    <s v="USR-100450"/>
    <d v="2025-03-05T00:00:00"/>
    <x v="0"/>
    <s v="East"/>
    <s v="Mobile"/>
    <s v="Paid Search"/>
    <s v="Free"/>
    <n v="1"/>
    <n v="0"/>
    <n v="0"/>
    <x v="0"/>
    <n v="0"/>
    <n v="0"/>
    <n v="0"/>
    <n v="0"/>
    <m/>
    <n v="48.6"/>
  </r>
  <r>
    <s v="USR-100451"/>
    <d v="2025-02-17T00:00:00"/>
    <x v="0"/>
    <s v="North"/>
    <s v="Tablet"/>
    <s v="Social"/>
    <s v="Free"/>
    <n v="1"/>
    <n v="1"/>
    <n v="1"/>
    <x v="0"/>
    <n v="0"/>
    <n v="0"/>
    <n v="0"/>
    <n v="0"/>
    <m/>
    <n v="56.9"/>
  </r>
  <r>
    <s v="USR-100452"/>
    <d v="2025-05-07T00:00:00"/>
    <x v="0"/>
    <s v="North"/>
    <s v="Desktop"/>
    <s v="Paid Search"/>
    <s v="Free"/>
    <n v="0"/>
    <n v="0"/>
    <n v="0"/>
    <x v="0"/>
    <n v="0"/>
    <n v="0"/>
    <n v="0"/>
    <n v="0"/>
    <m/>
    <n v="55.8"/>
  </r>
  <r>
    <s v="USR-100453"/>
    <d v="2025-04-10T00:00:00"/>
    <x v="0"/>
    <s v="East"/>
    <s v="Mobile"/>
    <s v="Paid Search"/>
    <s v="Premium"/>
    <n v="0"/>
    <n v="0"/>
    <n v="0"/>
    <x v="0"/>
    <n v="0"/>
    <n v="0"/>
    <n v="0"/>
    <n v="0"/>
    <m/>
    <n v="63.3"/>
  </r>
  <r>
    <s v="USR-100454"/>
    <d v="2025-04-21T00:00:00"/>
    <x v="0"/>
    <s v="North"/>
    <s v="Mobile"/>
    <s v="Social"/>
    <s v="Free"/>
    <n v="1"/>
    <n v="0"/>
    <n v="0"/>
    <x v="0"/>
    <n v="0"/>
    <n v="0"/>
    <n v="0"/>
    <n v="0"/>
    <m/>
    <n v="52.2"/>
  </r>
  <r>
    <s v="USR-100455"/>
    <d v="2025-02-25T00:00:00"/>
    <x v="0"/>
    <s v="South"/>
    <s v="Tablet"/>
    <m/>
    <s v="Free"/>
    <n v="0"/>
    <n v="0"/>
    <n v="0"/>
    <x v="0"/>
    <n v="0"/>
    <n v="0"/>
    <n v="0"/>
    <n v="0"/>
    <m/>
    <n v="51.5"/>
  </r>
  <r>
    <s v="USR-100456"/>
    <d v="2025-05-14T00:00:00"/>
    <x v="0"/>
    <s v="East"/>
    <s v="Desktop"/>
    <s v="Organic"/>
    <s v="Free"/>
    <n v="0"/>
    <n v="0"/>
    <n v="0"/>
    <x v="0"/>
    <n v="0"/>
    <n v="0"/>
    <n v="0"/>
    <n v="0"/>
    <m/>
    <n v="50.3"/>
  </r>
  <r>
    <s v="USR-100457"/>
    <d v="2025-03-10T00:00:00"/>
    <x v="0"/>
    <s v="North"/>
    <s v="Mobile"/>
    <s v="Email"/>
    <s v="Basic"/>
    <n v="1"/>
    <n v="0"/>
    <n v="0"/>
    <x v="0"/>
    <n v="0"/>
    <n v="1"/>
    <n v="1"/>
    <n v="0"/>
    <m/>
    <n v="35.4"/>
  </r>
  <r>
    <s v="USR-100458"/>
    <d v="2025-01-31T00:00:00"/>
    <x v="0"/>
    <s v="West"/>
    <s v="Desktop"/>
    <s v="Organic"/>
    <s v="Premium"/>
    <n v="1"/>
    <n v="0"/>
    <n v="0"/>
    <x v="0"/>
    <n v="0"/>
    <n v="1"/>
    <n v="1"/>
    <n v="0"/>
    <m/>
    <n v="54.1"/>
  </r>
  <r>
    <s v="USR-100459"/>
    <d v="2025-01-17T00:00:00"/>
    <x v="0"/>
    <s v="South"/>
    <s v="Mobile"/>
    <s v="Organic"/>
    <s v="Premium"/>
    <n v="1"/>
    <n v="0"/>
    <n v="0"/>
    <x v="0"/>
    <n v="0"/>
    <n v="0"/>
    <n v="0"/>
    <n v="0"/>
    <m/>
    <n v="56.2"/>
  </r>
  <r>
    <s v="USR-100460"/>
    <d v="2025-03-12T00:00:00"/>
    <x v="0"/>
    <s v="South"/>
    <s v="Mobile"/>
    <s v="Paid Search"/>
    <s v="Free"/>
    <n v="0"/>
    <n v="0"/>
    <n v="0"/>
    <x v="0"/>
    <n v="0"/>
    <n v="3"/>
    <n v="1"/>
    <n v="0"/>
    <m/>
    <n v="43.7"/>
  </r>
  <r>
    <s v="USR-100461"/>
    <d v="2025-02-28T00:00:00"/>
    <x v="0"/>
    <s v="West"/>
    <s v="Desktop"/>
    <s v="Organic"/>
    <s v="Premium"/>
    <n v="1"/>
    <n v="1"/>
    <n v="0"/>
    <x v="0"/>
    <n v="0"/>
    <n v="0"/>
    <n v="0"/>
    <n v="0"/>
    <m/>
    <n v="51.3"/>
  </r>
  <r>
    <s v="USR-100462"/>
    <d v="2025-05-19T00:00:00"/>
    <x v="0"/>
    <s v="North"/>
    <m/>
    <s v="Organic"/>
    <s v="Basic"/>
    <n v="1"/>
    <n v="0"/>
    <n v="0"/>
    <x v="0"/>
    <n v="0"/>
    <n v="0"/>
    <n v="0"/>
    <n v="0"/>
    <m/>
    <n v="50.5"/>
  </r>
  <r>
    <s v="USR-100463"/>
    <d v="2025-02-23T00:00:00"/>
    <x v="0"/>
    <s v="North"/>
    <s v="Mobile"/>
    <s v="Referral"/>
    <s v="Basic"/>
    <n v="1"/>
    <n v="0"/>
    <n v="0"/>
    <x v="0"/>
    <n v="0"/>
    <n v="0"/>
    <n v="0"/>
    <n v="0"/>
    <m/>
    <n v="57.3"/>
  </r>
  <r>
    <s v="USR-100464"/>
    <d v="2025-02-20T00:00:00"/>
    <x v="0"/>
    <s v="West"/>
    <s v="Desktop"/>
    <s v="Organic"/>
    <s v="Free"/>
    <n v="1"/>
    <n v="1"/>
    <n v="1"/>
    <x v="0"/>
    <n v="0"/>
    <n v="0"/>
    <n v="0"/>
    <n v="0"/>
    <m/>
    <n v="58.4"/>
  </r>
  <r>
    <s v="USR-100465"/>
    <d v="2025-04-12T00:00:00"/>
    <x v="0"/>
    <s v="North"/>
    <s v="Mobile"/>
    <m/>
    <s v="Free"/>
    <n v="0"/>
    <n v="0"/>
    <n v="0"/>
    <x v="0"/>
    <n v="0"/>
    <n v="0"/>
    <n v="0"/>
    <n v="0"/>
    <m/>
    <n v="56.5"/>
  </r>
  <r>
    <s v="USR-100466"/>
    <d v="2025-01-08T00:00:00"/>
    <x v="0"/>
    <s v="West"/>
    <s v="Mobile"/>
    <s v="Email"/>
    <s v="Free"/>
    <n v="0"/>
    <n v="0"/>
    <n v="0"/>
    <x v="0"/>
    <n v="0"/>
    <n v="0"/>
    <n v="0"/>
    <n v="0"/>
    <m/>
    <n v="69.599999999999994"/>
  </r>
  <r>
    <s v="USR-100467"/>
    <d v="2025-02-13T00:00:00"/>
    <x v="0"/>
    <s v="West"/>
    <s v="Mobile"/>
    <s v="Organic"/>
    <s v="Basic"/>
    <n v="0"/>
    <n v="0"/>
    <n v="0"/>
    <x v="0"/>
    <n v="0"/>
    <n v="0"/>
    <n v="0"/>
    <n v="0"/>
    <m/>
    <n v="6.2"/>
  </r>
  <r>
    <s v="USR-100468"/>
    <d v="2025-05-21T00:00:00"/>
    <x v="0"/>
    <s v="East"/>
    <s v="Desktop"/>
    <s v="Email"/>
    <s v="Free"/>
    <n v="1"/>
    <n v="1"/>
    <n v="1"/>
    <x v="0"/>
    <n v="0"/>
    <n v="0"/>
    <n v="0"/>
    <n v="0"/>
    <m/>
    <n v="54.3"/>
  </r>
  <r>
    <s v="USR-100469"/>
    <d v="2025-05-30T00:00:00"/>
    <x v="0"/>
    <s v="North"/>
    <s v="Mobile"/>
    <s v="Organic"/>
    <s v="Basic"/>
    <n v="0"/>
    <n v="0"/>
    <n v="0"/>
    <x v="0"/>
    <n v="0"/>
    <n v="0"/>
    <n v="0"/>
    <n v="0"/>
    <m/>
    <n v="59.8"/>
  </r>
  <r>
    <s v="USR-100470"/>
    <d v="2025-05-20T00:00:00"/>
    <x v="0"/>
    <s v="West"/>
    <s v="Mobile"/>
    <s v="Paid Search"/>
    <s v="Free"/>
    <n v="0"/>
    <n v="0"/>
    <n v="0"/>
    <x v="0"/>
    <n v="0"/>
    <n v="0"/>
    <n v="0"/>
    <n v="0"/>
    <m/>
    <n v="58.9"/>
  </r>
  <r>
    <s v="USR-100471"/>
    <d v="2025-01-09T00:00:00"/>
    <x v="0"/>
    <s v="East"/>
    <s v="Desktop"/>
    <s v="Organic"/>
    <s v="Free"/>
    <n v="0"/>
    <n v="0"/>
    <n v="0"/>
    <x v="0"/>
    <n v="0"/>
    <n v="1"/>
    <n v="1"/>
    <n v="0"/>
    <m/>
    <n v="52.9"/>
  </r>
  <r>
    <s v="USR-100472"/>
    <d v="2025-03-07T00:00:00"/>
    <x v="0"/>
    <s v="West"/>
    <s v="Mobile"/>
    <s v="Organic"/>
    <s v="Free"/>
    <n v="0"/>
    <n v="0"/>
    <n v="0"/>
    <x v="0"/>
    <n v="0"/>
    <n v="0"/>
    <n v="0"/>
    <n v="0"/>
    <m/>
    <n v="67.8"/>
  </r>
  <r>
    <s v="USR-100473"/>
    <d v="2025-04-23T00:00:00"/>
    <x v="0"/>
    <s v="South"/>
    <s v="Mobile"/>
    <s v="Social"/>
    <s v="Free"/>
    <n v="0"/>
    <n v="0"/>
    <n v="0"/>
    <x v="0"/>
    <n v="0"/>
    <n v="0"/>
    <n v="0"/>
    <n v="0"/>
    <m/>
    <n v="48.7"/>
  </r>
  <r>
    <s v="USR-100474"/>
    <d v="2025-03-08T00:00:00"/>
    <x v="0"/>
    <s v="East"/>
    <s v="Mobile"/>
    <s v="Organic"/>
    <s v="Basic"/>
    <n v="0"/>
    <n v="0"/>
    <n v="0"/>
    <x v="0"/>
    <n v="0"/>
    <n v="0"/>
    <n v="0"/>
    <n v="0"/>
    <m/>
    <n v="59"/>
  </r>
  <r>
    <s v="USR-100475"/>
    <d v="2025-02-14T00:00:00"/>
    <x v="0"/>
    <s v="South"/>
    <s v="Mobile"/>
    <s v="Referral"/>
    <s v="Free"/>
    <n v="0"/>
    <n v="0"/>
    <n v="0"/>
    <x v="0"/>
    <n v="0"/>
    <n v="0"/>
    <n v="0"/>
    <n v="0"/>
    <m/>
    <n v="63.2"/>
  </r>
  <r>
    <s v="USR-100476"/>
    <d v="2025-05-17T00:00:00"/>
    <x v="0"/>
    <s v="West"/>
    <s v="Mobile"/>
    <s v="Referral"/>
    <s v="Basic"/>
    <n v="1"/>
    <n v="0"/>
    <n v="0"/>
    <x v="0"/>
    <n v="0"/>
    <n v="0"/>
    <n v="0"/>
    <n v="0"/>
    <m/>
    <n v="68.7"/>
  </r>
  <r>
    <s v="USR-100477"/>
    <d v="2025-04-25T00:00:00"/>
    <x v="0"/>
    <s v="South"/>
    <s v="Mobile"/>
    <s v="Referral"/>
    <s v="Free"/>
    <n v="0"/>
    <n v="0"/>
    <n v="0"/>
    <x v="0"/>
    <n v="0"/>
    <n v="0"/>
    <n v="0"/>
    <n v="0"/>
    <m/>
    <n v="52.1"/>
  </r>
  <r>
    <s v="USR-100478"/>
    <d v="2025-03-04T00:00:00"/>
    <x v="0"/>
    <s v="South"/>
    <s v="Desktop"/>
    <s v="Social"/>
    <s v="Basic"/>
    <n v="0"/>
    <n v="0"/>
    <n v="0"/>
    <x v="0"/>
    <n v="0"/>
    <n v="0"/>
    <n v="0"/>
    <n v="0"/>
    <m/>
    <n v="56.5"/>
  </r>
  <r>
    <s v="USR-100479"/>
    <d v="2025-03-18T00:00:00"/>
    <x v="0"/>
    <s v="South"/>
    <s v="Mobile"/>
    <s v="Organic"/>
    <s v="Free"/>
    <n v="1"/>
    <n v="0"/>
    <n v="0"/>
    <x v="0"/>
    <n v="0"/>
    <n v="0"/>
    <n v="0"/>
    <n v="0"/>
    <m/>
    <n v="64.400000000000006"/>
  </r>
  <r>
    <s v="USR-100480"/>
    <d v="2025-01-30T00:00:00"/>
    <x v="0"/>
    <s v="West"/>
    <s v="Mobile"/>
    <s v="Paid Search"/>
    <s v="Premium"/>
    <n v="1"/>
    <n v="0"/>
    <n v="0"/>
    <x v="0"/>
    <n v="0"/>
    <n v="0"/>
    <n v="0"/>
    <n v="0"/>
    <m/>
    <n v="65.900000000000006"/>
  </r>
  <r>
    <s v="USR-100481"/>
    <d v="2025-05-20T00:00:00"/>
    <x v="0"/>
    <s v="West"/>
    <s v="Tablet"/>
    <s v="Referral"/>
    <s v="Free"/>
    <n v="1"/>
    <n v="1"/>
    <n v="1"/>
    <x v="0"/>
    <n v="0"/>
    <n v="0"/>
    <n v="0"/>
    <n v="0"/>
    <m/>
    <n v="100"/>
  </r>
  <r>
    <s v="USR-100482"/>
    <d v="2025-02-13T00:00:00"/>
    <x v="0"/>
    <s v="North"/>
    <m/>
    <s v="Organic"/>
    <s v="Basic"/>
    <n v="1"/>
    <n v="1"/>
    <n v="1"/>
    <x v="0"/>
    <n v="0"/>
    <n v="0"/>
    <n v="0"/>
    <n v="0"/>
    <m/>
    <n v="50.4"/>
  </r>
  <r>
    <s v="USR-100483"/>
    <d v="2025-04-12T00:00:00"/>
    <x v="0"/>
    <s v="West"/>
    <s v="Desktop"/>
    <s v="Organic"/>
    <s v="Basic"/>
    <n v="0"/>
    <n v="0"/>
    <n v="0"/>
    <x v="0"/>
    <n v="0"/>
    <n v="0"/>
    <n v="0"/>
    <n v="0"/>
    <m/>
    <n v="41.5"/>
  </r>
  <r>
    <s v="USR-100484"/>
    <d v="2025-04-07T00:00:00"/>
    <x v="0"/>
    <s v="North"/>
    <s v="Mobile"/>
    <s v="Email"/>
    <s v="Free"/>
    <n v="0"/>
    <n v="0"/>
    <n v="0"/>
    <x v="0"/>
    <n v="0"/>
    <n v="0"/>
    <n v="0"/>
    <n v="0"/>
    <m/>
    <n v="86.2"/>
  </r>
  <r>
    <s v="USR-100485"/>
    <d v="2025-03-12T00:00:00"/>
    <x v="0"/>
    <s v="North"/>
    <s v="Desktop"/>
    <s v="Social"/>
    <s v="Free"/>
    <n v="1"/>
    <n v="1"/>
    <n v="1"/>
    <x v="0"/>
    <n v="0"/>
    <n v="2"/>
    <n v="1"/>
    <n v="0"/>
    <m/>
    <n v="50.8"/>
  </r>
  <r>
    <s v="USR-100486"/>
    <d v="2025-02-07T00:00:00"/>
    <x v="0"/>
    <s v="West"/>
    <s v="Mobile"/>
    <s v="Organic"/>
    <s v="Free"/>
    <n v="1"/>
    <n v="0"/>
    <n v="0"/>
    <x v="0"/>
    <n v="0"/>
    <n v="0"/>
    <n v="0"/>
    <n v="0"/>
    <m/>
    <n v="50.9"/>
  </r>
  <r>
    <s v="USR-100487"/>
    <d v="2025-05-05T00:00:00"/>
    <x v="0"/>
    <s v="North"/>
    <s v="Mobile"/>
    <s v="Organic"/>
    <s v="Premium"/>
    <n v="1"/>
    <n v="1"/>
    <n v="0"/>
    <x v="0"/>
    <n v="0"/>
    <n v="0"/>
    <n v="0"/>
    <n v="0"/>
    <m/>
    <n v="87.5"/>
  </r>
  <r>
    <s v="USR-100488"/>
    <d v="2025-03-18T00:00:00"/>
    <x v="0"/>
    <s v="South"/>
    <s v="Mobile"/>
    <s v="Referral"/>
    <s v="Free"/>
    <n v="0"/>
    <n v="0"/>
    <n v="0"/>
    <x v="0"/>
    <n v="0"/>
    <n v="0"/>
    <n v="0"/>
    <n v="0"/>
    <m/>
    <n v="43.6"/>
  </r>
  <r>
    <s v="USR-100489"/>
    <d v="2025-01-05T00:00:00"/>
    <x v="0"/>
    <s v="South"/>
    <s v="Mobile"/>
    <s v="Paid Search"/>
    <s v="Basic"/>
    <n v="1"/>
    <n v="0"/>
    <n v="0"/>
    <x v="0"/>
    <n v="0"/>
    <n v="0"/>
    <n v="0"/>
    <n v="0"/>
    <m/>
    <n v="55.5"/>
  </r>
  <r>
    <s v="USR-100490"/>
    <d v="2025-05-10T00:00:00"/>
    <x v="0"/>
    <s v="South"/>
    <s v="Desktop"/>
    <s v="Referral"/>
    <s v="Basic"/>
    <n v="0"/>
    <n v="0"/>
    <n v="0"/>
    <x v="0"/>
    <n v="0"/>
    <n v="0"/>
    <n v="0"/>
    <n v="0"/>
    <m/>
    <n v="78.599999999999994"/>
  </r>
  <r>
    <s v="USR-100491"/>
    <d v="2025-01-03T00:00:00"/>
    <x v="0"/>
    <s v="South"/>
    <s v="Mobile"/>
    <s v="Social"/>
    <s v="Basic"/>
    <n v="1"/>
    <n v="1"/>
    <n v="0"/>
    <x v="0"/>
    <n v="0"/>
    <n v="1"/>
    <n v="1"/>
    <n v="0"/>
    <m/>
    <n v="44.3"/>
  </r>
  <r>
    <s v="USR-100492"/>
    <d v="2025-05-08T00:00:00"/>
    <x v="0"/>
    <s v="South"/>
    <s v="Mobile"/>
    <s v="Paid Search"/>
    <s v="Free"/>
    <n v="1"/>
    <n v="1"/>
    <n v="0"/>
    <x v="0"/>
    <n v="0"/>
    <n v="0"/>
    <n v="0"/>
    <n v="0"/>
    <m/>
    <n v="45.2"/>
  </r>
  <r>
    <s v="USR-100493"/>
    <d v="2025-03-05T00:00:00"/>
    <x v="0"/>
    <s v="South"/>
    <s v="Desktop"/>
    <s v="Email"/>
    <s v="Basic"/>
    <n v="1"/>
    <n v="0"/>
    <n v="0"/>
    <x v="0"/>
    <n v="0"/>
    <n v="2"/>
    <n v="1"/>
    <n v="0"/>
    <m/>
    <n v="46.1"/>
  </r>
  <r>
    <s v="USR-100494"/>
    <d v="2025-02-17T00:00:00"/>
    <x v="0"/>
    <s v="North"/>
    <s v="Mobile"/>
    <s v="Organic"/>
    <s v="Premium"/>
    <n v="1"/>
    <n v="0"/>
    <n v="0"/>
    <x v="0"/>
    <n v="0"/>
    <n v="0"/>
    <n v="0"/>
    <n v="0"/>
    <m/>
    <n v="49.6"/>
  </r>
  <r>
    <s v="USR-100495"/>
    <d v="2025-01-09T00:00:00"/>
    <x v="0"/>
    <s v="South"/>
    <s v="Mobile"/>
    <s v="Referral"/>
    <s v="Basic"/>
    <n v="0"/>
    <n v="0"/>
    <n v="0"/>
    <x v="0"/>
    <n v="0"/>
    <n v="0"/>
    <n v="0"/>
    <n v="0"/>
    <m/>
    <n v="70.5"/>
  </r>
  <r>
    <s v="USR-100496"/>
    <d v="2025-05-05T00:00:00"/>
    <x v="0"/>
    <s v="South"/>
    <s v="Mobile"/>
    <s v="Email"/>
    <s v="Basic"/>
    <n v="0"/>
    <n v="0"/>
    <n v="0"/>
    <x v="0"/>
    <n v="0"/>
    <n v="1"/>
    <n v="1"/>
    <n v="0"/>
    <m/>
    <n v="60.8"/>
  </r>
  <r>
    <s v="USR-100497"/>
    <d v="2025-04-16T00:00:00"/>
    <x v="0"/>
    <s v="East"/>
    <s v="Mobile"/>
    <s v="Email"/>
    <s v="Basic"/>
    <n v="0"/>
    <n v="0"/>
    <n v="0"/>
    <x v="0"/>
    <n v="0"/>
    <n v="1"/>
    <n v="1"/>
    <n v="0"/>
    <m/>
    <n v="50.5"/>
  </r>
  <r>
    <s v="USR-100498"/>
    <d v="2025-03-02T00:00:00"/>
    <x v="0"/>
    <s v="South"/>
    <s v="Desktop"/>
    <s v="Organic"/>
    <s v="Free"/>
    <n v="1"/>
    <n v="0"/>
    <n v="0"/>
    <x v="0"/>
    <n v="0"/>
    <n v="0"/>
    <n v="0"/>
    <n v="0"/>
    <m/>
    <n v="54.9"/>
  </r>
  <r>
    <s v="USR-100499"/>
    <d v="2025-04-14T00:00:00"/>
    <x v="0"/>
    <s v="South"/>
    <s v="Mobile"/>
    <s v="Social"/>
    <s v="Premium"/>
    <n v="0"/>
    <n v="0"/>
    <n v="0"/>
    <x v="0"/>
    <n v="0"/>
    <n v="0"/>
    <n v="0"/>
    <n v="0"/>
    <m/>
    <n v="29.9"/>
  </r>
  <r>
    <s v="USR-100500"/>
    <d v="2025-02-15T00:00:00"/>
    <x v="0"/>
    <s v="East"/>
    <s v="Desktop"/>
    <s v="Paid Search"/>
    <s v="Basic"/>
    <n v="0"/>
    <n v="0"/>
    <n v="0"/>
    <x v="0"/>
    <n v="0"/>
    <n v="0"/>
    <n v="0"/>
    <n v="0"/>
    <m/>
    <n v="48.3"/>
  </r>
  <r>
    <s v="USR-100501"/>
    <d v="2025-02-13T00:00:00"/>
    <x v="0"/>
    <s v="West"/>
    <s v="Mobile"/>
    <s v="Social"/>
    <s v="Free"/>
    <n v="1"/>
    <n v="1"/>
    <n v="1"/>
    <x v="1"/>
    <n v="513.61"/>
    <n v="0"/>
    <n v="0"/>
    <n v="0"/>
    <n v="7"/>
    <n v="41.3"/>
  </r>
  <r>
    <s v="USR-100502"/>
    <d v="2025-03-06T00:00:00"/>
    <x v="0"/>
    <s v="North"/>
    <s v="Mobile"/>
    <s v="Email"/>
    <s v="Free"/>
    <n v="0"/>
    <n v="0"/>
    <n v="0"/>
    <x v="0"/>
    <n v="0"/>
    <n v="0"/>
    <n v="0"/>
    <n v="0"/>
    <m/>
    <n v="61.4"/>
  </r>
  <r>
    <s v="USR-100503"/>
    <d v="2025-02-18T00:00:00"/>
    <x v="0"/>
    <s v="South"/>
    <s v="Desktop"/>
    <s v="Social"/>
    <s v="Free"/>
    <n v="0"/>
    <n v="0"/>
    <n v="0"/>
    <x v="0"/>
    <n v="0"/>
    <n v="0"/>
    <n v="0"/>
    <n v="0"/>
    <m/>
    <n v="57.8"/>
  </r>
  <r>
    <s v="USR-100504"/>
    <d v="2025-04-07T00:00:00"/>
    <x v="0"/>
    <s v="North"/>
    <s v="Desktop"/>
    <s v="Organic"/>
    <s v="Free"/>
    <n v="0"/>
    <n v="0"/>
    <n v="0"/>
    <x v="0"/>
    <n v="0"/>
    <n v="0"/>
    <n v="0"/>
    <n v="0"/>
    <m/>
    <n v="78.2"/>
  </r>
  <r>
    <s v="USR-100505"/>
    <d v="2025-04-06T00:00:00"/>
    <x v="0"/>
    <s v="North"/>
    <s v="Mobile"/>
    <s v="Referral"/>
    <s v="Free"/>
    <n v="0"/>
    <n v="0"/>
    <n v="0"/>
    <x v="0"/>
    <n v="0"/>
    <n v="0"/>
    <n v="0"/>
    <n v="0"/>
    <m/>
    <n v="63.8"/>
  </r>
  <r>
    <s v="USR-100506"/>
    <d v="2025-01-30T00:00:00"/>
    <x v="0"/>
    <s v="North"/>
    <s v="Desktop"/>
    <s v="Social"/>
    <s v="Free"/>
    <n v="1"/>
    <n v="0"/>
    <n v="0"/>
    <x v="0"/>
    <n v="0"/>
    <n v="0"/>
    <n v="0"/>
    <n v="0"/>
    <m/>
    <n v="56.8"/>
  </r>
  <r>
    <s v="USR-100507"/>
    <d v="2025-05-13T00:00:00"/>
    <x v="0"/>
    <s v="South"/>
    <s v="Desktop"/>
    <s v="Organic"/>
    <s v="Basic"/>
    <n v="1"/>
    <n v="1"/>
    <n v="0"/>
    <x v="0"/>
    <n v="0"/>
    <n v="0"/>
    <n v="0"/>
    <n v="0"/>
    <m/>
    <n v="59.6"/>
  </r>
  <r>
    <s v="USR-100508"/>
    <d v="2025-01-20T00:00:00"/>
    <x v="0"/>
    <s v="West"/>
    <s v="Mobile"/>
    <s v="Paid Search"/>
    <s v="Premium"/>
    <n v="1"/>
    <n v="1"/>
    <n v="0"/>
    <x v="0"/>
    <n v="0"/>
    <n v="0"/>
    <n v="0"/>
    <n v="0"/>
    <m/>
    <n v="50"/>
  </r>
  <r>
    <s v="USR-100509"/>
    <d v="2025-01-30T00:00:00"/>
    <x v="0"/>
    <s v="North"/>
    <s v="Tablet"/>
    <s v="Organic"/>
    <s v="Free"/>
    <n v="1"/>
    <n v="0"/>
    <n v="0"/>
    <x v="0"/>
    <n v="0"/>
    <n v="0"/>
    <n v="0"/>
    <n v="0"/>
    <m/>
    <n v="35.700000000000003"/>
  </r>
  <r>
    <s v="USR-100510"/>
    <d v="2025-01-13T00:00:00"/>
    <x v="0"/>
    <s v="South"/>
    <s v="Mobile"/>
    <s v="Organic"/>
    <s v="Free"/>
    <n v="0"/>
    <n v="0"/>
    <n v="0"/>
    <x v="0"/>
    <n v="0"/>
    <n v="2"/>
    <n v="1"/>
    <n v="0"/>
    <m/>
    <n v="47.2"/>
  </r>
  <r>
    <s v="USR-100511"/>
    <d v="2025-02-11T00:00:00"/>
    <x v="0"/>
    <s v="North"/>
    <s v="Mobile"/>
    <s v="Social"/>
    <s v="Free"/>
    <n v="1"/>
    <n v="1"/>
    <n v="0"/>
    <x v="0"/>
    <n v="0"/>
    <n v="0"/>
    <n v="0"/>
    <n v="0"/>
    <m/>
    <n v="56.9"/>
  </r>
  <r>
    <s v="USR-100512"/>
    <d v="2025-04-15T00:00:00"/>
    <x v="0"/>
    <s v="South"/>
    <s v="Mobile"/>
    <s v="Organic"/>
    <s v="Free"/>
    <n v="0"/>
    <n v="0"/>
    <n v="0"/>
    <x v="0"/>
    <n v="0"/>
    <n v="1"/>
    <n v="1"/>
    <n v="0"/>
    <m/>
    <n v="57.2"/>
  </r>
  <r>
    <s v="USR-100513"/>
    <d v="2025-02-13T00:00:00"/>
    <x v="0"/>
    <s v="South"/>
    <s v="Mobile"/>
    <m/>
    <s v="Free"/>
    <n v="1"/>
    <n v="1"/>
    <n v="0"/>
    <x v="0"/>
    <n v="0"/>
    <n v="0"/>
    <n v="0"/>
    <n v="0"/>
    <m/>
    <n v="31.4"/>
  </r>
  <r>
    <s v="USR-100514"/>
    <d v="2025-05-09T00:00:00"/>
    <x v="0"/>
    <s v="South"/>
    <s v="Desktop"/>
    <s v="Organic"/>
    <s v="Free"/>
    <n v="0"/>
    <n v="0"/>
    <n v="0"/>
    <x v="0"/>
    <n v="0"/>
    <n v="0"/>
    <n v="0"/>
    <n v="0"/>
    <m/>
    <n v="71.2"/>
  </r>
  <r>
    <s v="USR-100515"/>
    <d v="2025-03-10T00:00:00"/>
    <x v="0"/>
    <s v="North"/>
    <s v="Mobile"/>
    <s v="Paid Search"/>
    <s v="Free"/>
    <n v="1"/>
    <n v="1"/>
    <n v="1"/>
    <x v="0"/>
    <n v="0"/>
    <n v="1"/>
    <n v="1"/>
    <n v="0"/>
    <m/>
    <n v="38.299999999999997"/>
  </r>
  <r>
    <s v="USR-100516"/>
    <d v="2025-04-01T00:00:00"/>
    <x v="0"/>
    <s v="North"/>
    <s v="Mobile"/>
    <s v="Organic"/>
    <s v="Free"/>
    <n v="1"/>
    <n v="1"/>
    <n v="0"/>
    <x v="0"/>
    <n v="0"/>
    <n v="0"/>
    <n v="0"/>
    <n v="0"/>
    <m/>
    <n v="63.1"/>
  </r>
  <r>
    <s v="USR-100517"/>
    <d v="2025-05-15T00:00:00"/>
    <x v="0"/>
    <s v="East"/>
    <s v="Mobile"/>
    <s v="Referral"/>
    <s v="Basic"/>
    <n v="1"/>
    <n v="0"/>
    <n v="0"/>
    <x v="0"/>
    <n v="0"/>
    <n v="0"/>
    <n v="0"/>
    <n v="0"/>
    <m/>
    <n v="59.7"/>
  </r>
  <r>
    <s v="USR-100518"/>
    <d v="2025-05-04T00:00:00"/>
    <x v="0"/>
    <s v="South"/>
    <s v="Desktop"/>
    <s v="Social"/>
    <s v="Premium"/>
    <n v="1"/>
    <n v="1"/>
    <n v="1"/>
    <x v="0"/>
    <n v="0"/>
    <n v="0"/>
    <n v="0"/>
    <n v="0"/>
    <m/>
    <n v="59.5"/>
  </r>
  <r>
    <s v="USR-100519"/>
    <d v="2025-05-20T00:00:00"/>
    <x v="0"/>
    <s v="East"/>
    <s v="Mobile"/>
    <s v="Paid Search"/>
    <s v="Free"/>
    <n v="0"/>
    <n v="0"/>
    <n v="0"/>
    <x v="0"/>
    <n v="0"/>
    <n v="0"/>
    <n v="0"/>
    <n v="0"/>
    <m/>
    <n v="78.8"/>
  </r>
  <r>
    <s v="USR-100520"/>
    <d v="2025-05-16T00:00:00"/>
    <x v="0"/>
    <s v="West"/>
    <s v="Desktop"/>
    <s v="Referral"/>
    <s v="Free"/>
    <n v="0"/>
    <n v="0"/>
    <n v="0"/>
    <x v="0"/>
    <n v="0"/>
    <n v="0"/>
    <n v="0"/>
    <n v="0"/>
    <m/>
    <n v="54"/>
  </r>
  <r>
    <s v="USR-100521"/>
    <d v="2025-03-17T00:00:00"/>
    <x v="0"/>
    <s v="West"/>
    <s v="Mobile"/>
    <s v="Organic"/>
    <s v="Free"/>
    <n v="1"/>
    <n v="0"/>
    <n v="0"/>
    <x v="0"/>
    <n v="0"/>
    <n v="0"/>
    <n v="0"/>
    <n v="0"/>
    <m/>
    <n v="66.3"/>
  </r>
  <r>
    <s v="USR-100522"/>
    <d v="2025-01-27T00:00:00"/>
    <x v="0"/>
    <s v="East"/>
    <s v="Tablet"/>
    <s v="Paid Search"/>
    <s v="Free"/>
    <n v="1"/>
    <n v="1"/>
    <n v="0"/>
    <x v="0"/>
    <n v="0"/>
    <n v="0"/>
    <n v="0"/>
    <n v="0"/>
    <m/>
    <n v="54.7"/>
  </r>
  <r>
    <s v="USR-100523"/>
    <d v="2025-04-13T00:00:00"/>
    <x v="0"/>
    <s v="South"/>
    <s v="Mobile"/>
    <s v="Organic"/>
    <s v="Basic"/>
    <n v="1"/>
    <n v="0"/>
    <n v="0"/>
    <x v="0"/>
    <n v="0"/>
    <n v="0"/>
    <n v="0"/>
    <n v="0"/>
    <m/>
    <n v="76.7"/>
  </r>
  <r>
    <s v="USR-100524"/>
    <d v="2025-05-03T00:00:00"/>
    <x v="0"/>
    <s v="South"/>
    <s v="Desktop"/>
    <s v="Email"/>
    <s v="Basic"/>
    <n v="1"/>
    <n v="0"/>
    <n v="0"/>
    <x v="0"/>
    <n v="0"/>
    <n v="2"/>
    <n v="1"/>
    <n v="0"/>
    <m/>
    <n v="47.4"/>
  </r>
  <r>
    <s v="USR-100525"/>
    <d v="2025-03-30T00:00:00"/>
    <x v="0"/>
    <s v="North"/>
    <s v="Mobile"/>
    <s v="Organic"/>
    <s v="Free"/>
    <n v="1"/>
    <n v="1"/>
    <n v="1"/>
    <x v="0"/>
    <n v="0"/>
    <n v="0"/>
    <n v="0"/>
    <n v="0"/>
    <m/>
    <n v="81.7"/>
  </r>
  <r>
    <s v="USR-100526"/>
    <d v="2025-01-01T00:00:00"/>
    <x v="0"/>
    <s v="West"/>
    <s v="Mobile"/>
    <s v="Paid Search"/>
    <s v="Basic"/>
    <n v="1"/>
    <n v="1"/>
    <n v="1"/>
    <x v="0"/>
    <n v="0"/>
    <n v="0"/>
    <n v="0"/>
    <n v="0"/>
    <m/>
    <n v="67.5"/>
  </r>
  <r>
    <s v="USR-100527"/>
    <d v="2025-02-06T00:00:00"/>
    <x v="0"/>
    <s v="West"/>
    <s v="Mobile"/>
    <s v="Paid Search"/>
    <s v="Basic"/>
    <n v="1"/>
    <n v="0"/>
    <n v="0"/>
    <x v="0"/>
    <n v="0"/>
    <n v="0"/>
    <n v="0"/>
    <n v="0"/>
    <m/>
    <n v="36.799999999999997"/>
  </r>
  <r>
    <s v="USR-100528"/>
    <d v="2025-02-25T00:00:00"/>
    <x v="0"/>
    <s v="North"/>
    <s v="Desktop"/>
    <s v="Organic"/>
    <s v="Free"/>
    <n v="0"/>
    <n v="0"/>
    <n v="0"/>
    <x v="0"/>
    <n v="0"/>
    <n v="0"/>
    <n v="0"/>
    <n v="0"/>
    <m/>
    <n v="66.5"/>
  </r>
  <r>
    <s v="USR-100529"/>
    <d v="2025-05-14T00:00:00"/>
    <x v="0"/>
    <s v="East"/>
    <s v="Tablet"/>
    <s v="Social"/>
    <s v="Free"/>
    <n v="1"/>
    <n v="0"/>
    <n v="0"/>
    <x v="0"/>
    <n v="0"/>
    <n v="0"/>
    <n v="0"/>
    <n v="0"/>
    <m/>
    <n v="35.4"/>
  </r>
  <r>
    <s v="USR-100530"/>
    <d v="2025-05-20T00:00:00"/>
    <x v="0"/>
    <s v="South"/>
    <s v="Mobile"/>
    <s v="Organic"/>
    <s v="Basic"/>
    <n v="0"/>
    <n v="0"/>
    <n v="0"/>
    <x v="0"/>
    <n v="0"/>
    <n v="0"/>
    <n v="0"/>
    <n v="0"/>
    <m/>
    <n v="64.3"/>
  </r>
  <r>
    <s v="USR-100531"/>
    <d v="2025-02-11T00:00:00"/>
    <x v="0"/>
    <s v="South"/>
    <s v="Mobile"/>
    <s v="Organic"/>
    <s v="Free"/>
    <n v="0"/>
    <n v="0"/>
    <n v="0"/>
    <x v="0"/>
    <n v="0"/>
    <n v="0"/>
    <n v="0"/>
    <n v="0"/>
    <m/>
    <n v="49.1"/>
  </r>
  <r>
    <s v="USR-100532"/>
    <d v="2025-02-13T00:00:00"/>
    <x v="0"/>
    <s v="West"/>
    <s v="Mobile"/>
    <s v="Organic"/>
    <s v="Free"/>
    <n v="1"/>
    <n v="0"/>
    <n v="0"/>
    <x v="0"/>
    <n v="0"/>
    <n v="0"/>
    <n v="0"/>
    <n v="0"/>
    <m/>
    <n v="84.3"/>
  </r>
  <r>
    <s v="USR-100533"/>
    <d v="2025-04-07T00:00:00"/>
    <x v="0"/>
    <s v="South"/>
    <s v="Mobile"/>
    <s v="Paid Search"/>
    <s v="Premium"/>
    <n v="1"/>
    <n v="0"/>
    <n v="0"/>
    <x v="0"/>
    <n v="0"/>
    <n v="0"/>
    <n v="0"/>
    <n v="0"/>
    <m/>
    <n v="65.599999999999994"/>
  </r>
  <r>
    <s v="USR-100534"/>
    <d v="2025-03-08T00:00:00"/>
    <x v="0"/>
    <s v="East"/>
    <s v="Mobile"/>
    <s v="Email"/>
    <s v="Free"/>
    <n v="1"/>
    <n v="0"/>
    <n v="0"/>
    <x v="0"/>
    <n v="0"/>
    <n v="0"/>
    <n v="0"/>
    <n v="0"/>
    <m/>
    <n v="47.1"/>
  </r>
  <r>
    <s v="USR-100535"/>
    <d v="2025-02-16T00:00:00"/>
    <x v="0"/>
    <s v="North"/>
    <s v="Desktop"/>
    <s v="Paid Search"/>
    <s v="Free"/>
    <n v="1"/>
    <n v="1"/>
    <n v="1"/>
    <x v="0"/>
    <n v="0"/>
    <n v="0"/>
    <n v="0"/>
    <n v="0"/>
    <m/>
    <n v="70"/>
  </r>
  <r>
    <s v="USR-100536"/>
    <d v="2025-04-28T00:00:00"/>
    <x v="0"/>
    <s v="South"/>
    <s v="Mobile"/>
    <s v="Paid Search"/>
    <s v="Premium"/>
    <n v="1"/>
    <n v="0"/>
    <n v="0"/>
    <x v="0"/>
    <n v="0"/>
    <n v="0"/>
    <n v="0"/>
    <n v="0"/>
    <m/>
    <n v="54.6"/>
  </r>
  <r>
    <s v="USR-100537"/>
    <d v="2025-03-10T00:00:00"/>
    <x v="0"/>
    <s v="West"/>
    <s v="Tablet"/>
    <s v="Social"/>
    <s v="Basic"/>
    <n v="1"/>
    <n v="1"/>
    <n v="0"/>
    <x v="0"/>
    <n v="0"/>
    <n v="1"/>
    <n v="1"/>
    <n v="0"/>
    <m/>
    <n v="65.2"/>
  </r>
  <r>
    <s v="USR-100538"/>
    <d v="2025-01-25T00:00:00"/>
    <x v="0"/>
    <s v="East"/>
    <s v="Mobile"/>
    <s v="Social"/>
    <s v="Free"/>
    <n v="1"/>
    <n v="0"/>
    <n v="0"/>
    <x v="0"/>
    <n v="0"/>
    <n v="0"/>
    <n v="0"/>
    <n v="0"/>
    <m/>
    <n v="65"/>
  </r>
  <r>
    <s v="USR-100539"/>
    <d v="2025-01-11T00:00:00"/>
    <x v="0"/>
    <s v="West"/>
    <s v="Mobile"/>
    <s v="Paid Search"/>
    <s v="Premium"/>
    <n v="1"/>
    <n v="1"/>
    <n v="1"/>
    <x v="0"/>
    <n v="0"/>
    <n v="1"/>
    <n v="1"/>
    <n v="0"/>
    <m/>
    <n v="42.1"/>
  </r>
  <r>
    <s v="USR-100540"/>
    <d v="2025-03-31T00:00:00"/>
    <x v="0"/>
    <s v="West"/>
    <s v="Tablet"/>
    <s v="Paid Search"/>
    <s v="Free"/>
    <n v="1"/>
    <n v="0"/>
    <n v="0"/>
    <x v="0"/>
    <n v="0"/>
    <n v="0"/>
    <n v="0"/>
    <n v="0"/>
    <m/>
    <n v="43.4"/>
  </r>
  <r>
    <s v="USR-100433"/>
    <d v="2025-02-03T00:00:00"/>
    <x v="0"/>
    <s v="North"/>
    <s v="Tablet"/>
    <s v="Email"/>
    <s v="Basic"/>
    <n v="1"/>
    <n v="0"/>
    <n v="0"/>
    <x v="0"/>
    <n v="0"/>
    <n v="0"/>
    <n v="0"/>
    <n v="0"/>
    <m/>
    <n v="60.9"/>
  </r>
  <r>
    <s v="USR-100542"/>
    <d v="2025-05-16T00:00:00"/>
    <x v="0"/>
    <s v="North"/>
    <s v="Mobile"/>
    <s v="Referral"/>
    <s v="Basic"/>
    <n v="0"/>
    <n v="0"/>
    <n v="0"/>
    <x v="0"/>
    <n v="0"/>
    <n v="0"/>
    <n v="0"/>
    <n v="0"/>
    <m/>
    <n v="74.099999999999994"/>
  </r>
  <r>
    <s v="USR-100543"/>
    <d v="2025-04-25T00:00:00"/>
    <x v="0"/>
    <s v="East"/>
    <s v="Desktop"/>
    <s v="Paid Search"/>
    <s v="Free"/>
    <n v="1"/>
    <n v="0"/>
    <n v="0"/>
    <x v="0"/>
    <n v="0"/>
    <n v="0"/>
    <n v="0"/>
    <n v="0"/>
    <m/>
    <n v="61.4"/>
  </r>
  <r>
    <s v="USR-100544"/>
    <d v="2025-04-17T00:00:00"/>
    <x v="0"/>
    <s v="East"/>
    <s v="Mobile"/>
    <s v="Social"/>
    <s v="Premium"/>
    <n v="1"/>
    <n v="1"/>
    <n v="1"/>
    <x v="0"/>
    <n v="0"/>
    <n v="0"/>
    <n v="0"/>
    <n v="0"/>
    <m/>
    <n v="76.8"/>
  </r>
  <r>
    <s v="USR-100545"/>
    <d v="2025-01-01T00:00:00"/>
    <x v="0"/>
    <s v="South"/>
    <s v="Desktop"/>
    <s v="Social"/>
    <s v="Basic"/>
    <n v="0"/>
    <n v="0"/>
    <n v="0"/>
    <x v="0"/>
    <n v="0"/>
    <n v="0"/>
    <n v="0"/>
    <n v="0"/>
    <m/>
    <m/>
  </r>
  <r>
    <s v="USR-100546"/>
    <d v="2025-03-18T00:00:00"/>
    <x v="0"/>
    <s v="East"/>
    <s v="Mobile"/>
    <s v="Paid Search"/>
    <s v="Basic"/>
    <n v="1"/>
    <n v="1"/>
    <n v="1"/>
    <x v="0"/>
    <n v="0"/>
    <n v="0"/>
    <n v="0"/>
    <n v="0"/>
    <m/>
    <n v="45.3"/>
  </r>
  <r>
    <s v="USR-100547"/>
    <d v="2025-05-20T00:00:00"/>
    <x v="0"/>
    <s v="North"/>
    <s v="Tablet"/>
    <s v="Paid Search"/>
    <s v="Free"/>
    <n v="1"/>
    <n v="0"/>
    <n v="0"/>
    <x v="0"/>
    <n v="0"/>
    <n v="0"/>
    <n v="0"/>
    <n v="0"/>
    <m/>
    <n v="41.4"/>
  </r>
  <r>
    <s v="USR-100548"/>
    <d v="2025-03-16T00:00:00"/>
    <x v="0"/>
    <s v="North"/>
    <s v="Mobile"/>
    <s v="Organic"/>
    <s v="Basic"/>
    <n v="1"/>
    <n v="0"/>
    <n v="0"/>
    <x v="0"/>
    <n v="0"/>
    <n v="0"/>
    <n v="0"/>
    <n v="0"/>
    <m/>
    <n v="37.1"/>
  </r>
  <r>
    <s v="USR-100549"/>
    <d v="2025-05-30T00:00:00"/>
    <x v="0"/>
    <s v="East"/>
    <s v="Desktop"/>
    <s v="Social"/>
    <s v="Free"/>
    <n v="1"/>
    <n v="0"/>
    <n v="0"/>
    <x v="0"/>
    <n v="0"/>
    <n v="0"/>
    <n v="0"/>
    <n v="0"/>
    <m/>
    <n v="40.700000000000003"/>
  </r>
  <r>
    <s v="USR-100550"/>
    <d v="2025-02-20T00:00:00"/>
    <x v="0"/>
    <s v="North"/>
    <s v="Mobile"/>
    <s v="Social"/>
    <s v="Premium"/>
    <n v="0"/>
    <n v="0"/>
    <n v="0"/>
    <x v="0"/>
    <n v="0"/>
    <n v="2"/>
    <n v="1"/>
    <n v="0"/>
    <m/>
    <n v="55.9"/>
  </r>
  <r>
    <s v="USR-100551"/>
    <d v="2025-02-11T00:00:00"/>
    <x v="0"/>
    <s v="East"/>
    <m/>
    <s v="Social"/>
    <s v="Free"/>
    <n v="1"/>
    <n v="1"/>
    <n v="0"/>
    <x v="0"/>
    <n v="0"/>
    <n v="0"/>
    <n v="0"/>
    <n v="0"/>
    <m/>
    <n v="55.8"/>
  </r>
  <r>
    <s v="USR-100552"/>
    <d v="2025-01-02T00:00:00"/>
    <x v="0"/>
    <s v="South"/>
    <s v="Tablet"/>
    <s v="Referral"/>
    <s v="Basic"/>
    <n v="1"/>
    <n v="0"/>
    <n v="0"/>
    <x v="0"/>
    <n v="0"/>
    <n v="0"/>
    <n v="0"/>
    <n v="0"/>
    <m/>
    <n v="64.3"/>
  </r>
  <r>
    <s v="USR-100553"/>
    <d v="2025-05-03T00:00:00"/>
    <x v="0"/>
    <s v="North"/>
    <s v="Mobile"/>
    <s v="Organic"/>
    <s v="Free"/>
    <n v="0"/>
    <n v="0"/>
    <n v="0"/>
    <x v="0"/>
    <n v="0"/>
    <n v="0"/>
    <n v="0"/>
    <n v="0"/>
    <m/>
    <n v="65.400000000000006"/>
  </r>
  <r>
    <s v="USR-100554"/>
    <d v="2025-02-24T00:00:00"/>
    <x v="0"/>
    <s v="West"/>
    <s v="Mobile"/>
    <s v="Organic"/>
    <s v="Free"/>
    <n v="1"/>
    <n v="0"/>
    <n v="0"/>
    <x v="0"/>
    <n v="0"/>
    <n v="0"/>
    <n v="0"/>
    <n v="0"/>
    <m/>
    <n v="89.8"/>
  </r>
  <r>
    <s v="USR-100555"/>
    <d v="2025-02-11T00:00:00"/>
    <x v="0"/>
    <s v="South"/>
    <m/>
    <s v="Organic"/>
    <s v="Free"/>
    <n v="1"/>
    <n v="1"/>
    <n v="1"/>
    <x v="0"/>
    <n v="0"/>
    <n v="0"/>
    <n v="0"/>
    <n v="0"/>
    <m/>
    <n v="58.3"/>
  </r>
  <r>
    <s v="USR-100556"/>
    <d v="2025-05-06T00:00:00"/>
    <x v="0"/>
    <s v="South"/>
    <s v="Mobile"/>
    <s v="Social"/>
    <s v="Basic"/>
    <n v="1"/>
    <n v="0"/>
    <n v="0"/>
    <x v="0"/>
    <n v="0"/>
    <n v="0"/>
    <n v="0"/>
    <n v="0"/>
    <m/>
    <n v="64.400000000000006"/>
  </r>
  <r>
    <s v="USR-100557"/>
    <d v="2025-05-23T00:00:00"/>
    <x v="0"/>
    <s v="North"/>
    <s v="Mobile"/>
    <s v="Paid Search"/>
    <s v="Premium"/>
    <n v="0"/>
    <n v="0"/>
    <n v="0"/>
    <x v="0"/>
    <n v="0"/>
    <n v="0"/>
    <n v="0"/>
    <n v="0"/>
    <m/>
    <n v="46.2"/>
  </r>
  <r>
    <s v="USR-100558"/>
    <d v="2025-01-09T00:00:00"/>
    <x v="0"/>
    <s v="North"/>
    <s v="Desktop"/>
    <s v="Paid Search"/>
    <s v="Free"/>
    <n v="0"/>
    <n v="0"/>
    <n v="0"/>
    <x v="0"/>
    <n v="0"/>
    <n v="0"/>
    <n v="0"/>
    <n v="0"/>
    <m/>
    <n v="78"/>
  </r>
  <r>
    <s v="USR-100559"/>
    <d v="2025-04-01T00:00:00"/>
    <x v="0"/>
    <s v="North"/>
    <s v="Desktop"/>
    <s v="Organic"/>
    <s v="Premium"/>
    <n v="1"/>
    <n v="0"/>
    <n v="0"/>
    <x v="0"/>
    <n v="0"/>
    <n v="0"/>
    <n v="0"/>
    <n v="0"/>
    <m/>
    <n v="62.3"/>
  </r>
  <r>
    <s v="USR-100560"/>
    <d v="2025-03-08T00:00:00"/>
    <x v="0"/>
    <s v="North"/>
    <s v="Mobile"/>
    <s v="Organic"/>
    <s v="Free"/>
    <n v="1"/>
    <n v="0"/>
    <n v="0"/>
    <x v="0"/>
    <n v="0"/>
    <n v="0"/>
    <n v="0"/>
    <n v="0"/>
    <m/>
    <n v="78.8"/>
  </r>
  <r>
    <s v="USR-100561"/>
    <d v="2025-02-20T00:00:00"/>
    <x v="0"/>
    <s v="North"/>
    <s v="Mobile"/>
    <s v="Social"/>
    <s v="Basic"/>
    <n v="1"/>
    <n v="0"/>
    <n v="0"/>
    <x v="0"/>
    <n v="0"/>
    <n v="0"/>
    <n v="0"/>
    <n v="0"/>
    <m/>
    <n v="25"/>
  </r>
  <r>
    <s v="USR-100562"/>
    <d v="2025-03-30T00:00:00"/>
    <x v="0"/>
    <s v="East"/>
    <s v="Mobile"/>
    <s v="Social"/>
    <s v="Basic"/>
    <n v="0"/>
    <n v="0"/>
    <n v="0"/>
    <x v="0"/>
    <n v="0"/>
    <n v="0"/>
    <n v="0"/>
    <n v="0"/>
    <m/>
    <n v="53.4"/>
  </r>
  <r>
    <s v="USR-100563"/>
    <d v="2025-04-10T00:00:00"/>
    <x v="0"/>
    <s v="East"/>
    <s v="Desktop"/>
    <s v="Organic"/>
    <s v="Basic"/>
    <n v="0"/>
    <n v="0"/>
    <n v="0"/>
    <x v="0"/>
    <n v="0"/>
    <n v="0"/>
    <n v="0"/>
    <n v="0"/>
    <m/>
    <n v="40.700000000000003"/>
  </r>
  <r>
    <s v="USR-100564"/>
    <d v="2025-03-24T00:00:00"/>
    <x v="0"/>
    <s v="East"/>
    <s v="Mobile"/>
    <s v="Organic"/>
    <s v="Premium"/>
    <n v="1"/>
    <n v="1"/>
    <n v="0"/>
    <x v="0"/>
    <n v="0"/>
    <n v="0"/>
    <n v="0"/>
    <n v="0"/>
    <m/>
    <n v="36.700000000000003"/>
  </r>
  <r>
    <s v="USR-100565"/>
    <d v="2025-05-21T00:00:00"/>
    <x v="0"/>
    <s v="West"/>
    <s v="Mobile"/>
    <s v="Organic"/>
    <s v="Basic"/>
    <n v="1"/>
    <n v="0"/>
    <n v="0"/>
    <x v="0"/>
    <n v="0"/>
    <n v="1"/>
    <n v="1"/>
    <n v="0"/>
    <m/>
    <n v="67.5"/>
  </r>
  <r>
    <s v="USR-100566"/>
    <d v="2025-03-29T00:00:00"/>
    <x v="0"/>
    <s v="East"/>
    <s v="Mobile"/>
    <s v="Social"/>
    <s v="Premium"/>
    <n v="1"/>
    <n v="1"/>
    <n v="1"/>
    <x v="0"/>
    <n v="0"/>
    <n v="0"/>
    <n v="0"/>
    <n v="0"/>
    <m/>
    <n v="69.900000000000006"/>
  </r>
  <r>
    <s v="USR-100567"/>
    <d v="2025-02-23T00:00:00"/>
    <x v="0"/>
    <s v="North"/>
    <s v="Tablet"/>
    <s v="Referral"/>
    <s v="Basic"/>
    <n v="1"/>
    <n v="0"/>
    <n v="0"/>
    <x v="0"/>
    <n v="0"/>
    <n v="0"/>
    <n v="0"/>
    <n v="0"/>
    <m/>
    <n v="65.099999999999994"/>
  </r>
  <r>
    <s v="USR-100568"/>
    <d v="2025-02-16T00:00:00"/>
    <x v="0"/>
    <s v="West"/>
    <s v="Mobile"/>
    <s v="Paid Search"/>
    <s v="Premium"/>
    <n v="1"/>
    <n v="0"/>
    <n v="0"/>
    <x v="0"/>
    <n v="0"/>
    <n v="0"/>
    <n v="0"/>
    <n v="0"/>
    <m/>
    <n v="48.7"/>
  </r>
  <r>
    <s v="USR-100569"/>
    <d v="2025-02-21T00:00:00"/>
    <x v="0"/>
    <s v="West"/>
    <s v="Desktop"/>
    <s v="Organic"/>
    <s v="Basic"/>
    <n v="1"/>
    <n v="1"/>
    <n v="0"/>
    <x v="0"/>
    <n v="0"/>
    <n v="0"/>
    <n v="0"/>
    <n v="0"/>
    <m/>
    <n v="47.2"/>
  </r>
  <r>
    <s v="USR-100570"/>
    <d v="2025-01-07T00:00:00"/>
    <x v="0"/>
    <s v="North"/>
    <s v="Mobile"/>
    <s v="Referral"/>
    <s v="Free"/>
    <n v="1"/>
    <n v="0"/>
    <n v="0"/>
    <x v="0"/>
    <n v="0"/>
    <n v="2"/>
    <n v="1"/>
    <n v="0"/>
    <m/>
    <n v="20.3"/>
  </r>
  <r>
    <s v="USR-100571"/>
    <d v="2025-03-06T00:00:00"/>
    <x v="0"/>
    <s v="West"/>
    <s v="Mobile"/>
    <s v="Paid Search"/>
    <s v="Free"/>
    <n v="0"/>
    <n v="0"/>
    <n v="0"/>
    <x v="0"/>
    <n v="0"/>
    <n v="1"/>
    <n v="1"/>
    <n v="0"/>
    <m/>
    <n v="57.8"/>
  </r>
  <r>
    <s v="USR-100572"/>
    <d v="2025-03-30T00:00:00"/>
    <x v="0"/>
    <s v="East"/>
    <s v="Mobile"/>
    <s v="Email"/>
    <s v="Basic"/>
    <n v="1"/>
    <n v="0"/>
    <n v="0"/>
    <x v="0"/>
    <n v="0"/>
    <n v="0"/>
    <n v="0"/>
    <n v="0"/>
    <m/>
    <n v="78.7"/>
  </r>
  <r>
    <s v="USR-100573"/>
    <d v="2025-05-31T00:00:00"/>
    <x v="0"/>
    <s v="South"/>
    <s v="Desktop"/>
    <s v="Organic"/>
    <s v="Free"/>
    <n v="1"/>
    <n v="0"/>
    <n v="0"/>
    <x v="0"/>
    <n v="0"/>
    <n v="0"/>
    <n v="0"/>
    <n v="0"/>
    <m/>
    <n v="63.6"/>
  </r>
  <r>
    <s v="USR-100574"/>
    <d v="2025-02-20T00:00:00"/>
    <x v="0"/>
    <s v="South"/>
    <s v="Mobile"/>
    <s v="Email"/>
    <s v="Free"/>
    <n v="0"/>
    <n v="0"/>
    <n v="0"/>
    <x v="0"/>
    <n v="0"/>
    <n v="2"/>
    <n v="1"/>
    <n v="0"/>
    <m/>
    <n v="45.1"/>
  </r>
  <r>
    <s v="USR-100575"/>
    <d v="2025-01-13T00:00:00"/>
    <x v="0"/>
    <s v="West"/>
    <s v="Mobile"/>
    <s v="Social"/>
    <s v="Free"/>
    <n v="0"/>
    <n v="0"/>
    <n v="0"/>
    <x v="0"/>
    <n v="0"/>
    <n v="0"/>
    <n v="0"/>
    <n v="0"/>
    <m/>
    <n v="77.5"/>
  </r>
  <r>
    <s v="USR-100576"/>
    <d v="2025-05-13T00:00:00"/>
    <x v="0"/>
    <s v="East"/>
    <s v="Desktop"/>
    <s v="Paid Search"/>
    <s v="Basic"/>
    <n v="1"/>
    <n v="1"/>
    <n v="0"/>
    <x v="0"/>
    <n v="0"/>
    <n v="0"/>
    <n v="0"/>
    <n v="0"/>
    <m/>
    <n v="58"/>
  </r>
  <r>
    <s v="USR-100577"/>
    <d v="2025-04-21T00:00:00"/>
    <x v="0"/>
    <s v="South"/>
    <s v="Tablet"/>
    <s v="Organic"/>
    <s v="Free"/>
    <n v="1"/>
    <n v="0"/>
    <n v="0"/>
    <x v="0"/>
    <n v="0"/>
    <n v="0"/>
    <n v="0"/>
    <n v="0"/>
    <m/>
    <n v="68.099999999999994"/>
  </r>
  <r>
    <s v="USR-100578"/>
    <d v="2025-03-01T00:00:00"/>
    <x v="0"/>
    <s v="East"/>
    <s v="Tablet"/>
    <s v="Organic"/>
    <s v="Premium"/>
    <n v="1"/>
    <n v="0"/>
    <n v="0"/>
    <x v="0"/>
    <n v="0"/>
    <n v="0"/>
    <n v="0"/>
    <n v="0"/>
    <m/>
    <n v="35.4"/>
  </r>
  <r>
    <s v="USR-100579"/>
    <d v="2025-03-10T00:00:00"/>
    <x v="0"/>
    <s v="West"/>
    <s v="Tablet"/>
    <s v="Organic"/>
    <s v="Free"/>
    <n v="0"/>
    <n v="0"/>
    <n v="0"/>
    <x v="0"/>
    <n v="0"/>
    <n v="0"/>
    <n v="0"/>
    <n v="0"/>
    <m/>
    <n v="47"/>
  </r>
  <r>
    <s v="USR-100580"/>
    <d v="2025-03-08T00:00:00"/>
    <x v="0"/>
    <s v="East"/>
    <s v="Desktop"/>
    <s v="Paid Search"/>
    <s v="Free"/>
    <n v="0"/>
    <n v="0"/>
    <n v="0"/>
    <x v="0"/>
    <n v="0"/>
    <n v="0"/>
    <n v="0"/>
    <n v="0"/>
    <m/>
    <n v="75"/>
  </r>
  <r>
    <s v="USR-100581"/>
    <d v="2025-05-26T00:00:00"/>
    <x v="0"/>
    <s v="South"/>
    <s v="Desktop"/>
    <s v="Paid Search"/>
    <s v="Free"/>
    <n v="1"/>
    <n v="1"/>
    <n v="1"/>
    <x v="0"/>
    <n v="0"/>
    <n v="3"/>
    <n v="1"/>
    <n v="0"/>
    <m/>
    <n v="50.2"/>
  </r>
  <r>
    <s v="USR-100582"/>
    <d v="2025-05-20T00:00:00"/>
    <x v="0"/>
    <s v="East"/>
    <s v="Desktop"/>
    <s v="Paid Search"/>
    <s v="Free"/>
    <n v="1"/>
    <n v="0"/>
    <n v="0"/>
    <x v="0"/>
    <n v="0"/>
    <n v="0"/>
    <n v="0"/>
    <n v="0"/>
    <m/>
    <n v="40.1"/>
  </r>
  <r>
    <s v="USR-100583"/>
    <d v="2025-03-22T00:00:00"/>
    <x v="0"/>
    <s v="West"/>
    <s v="Desktop"/>
    <s v="Paid Search"/>
    <s v="Free"/>
    <n v="0"/>
    <n v="0"/>
    <n v="0"/>
    <x v="0"/>
    <n v="0"/>
    <n v="0"/>
    <n v="0"/>
    <n v="0"/>
    <m/>
    <n v="61.1"/>
  </r>
  <r>
    <s v="USR-100584"/>
    <d v="2025-02-15T00:00:00"/>
    <x v="0"/>
    <s v="South"/>
    <s v="Desktop"/>
    <s v="Paid Search"/>
    <s v="Free"/>
    <n v="0"/>
    <n v="0"/>
    <n v="0"/>
    <x v="0"/>
    <n v="0"/>
    <n v="0"/>
    <n v="0"/>
    <n v="0"/>
    <m/>
    <n v="42.4"/>
  </r>
  <r>
    <s v="USR-100585"/>
    <d v="2025-01-08T00:00:00"/>
    <x v="0"/>
    <s v="North"/>
    <s v="Mobile"/>
    <s v="Social"/>
    <s v="Free"/>
    <n v="0"/>
    <n v="0"/>
    <n v="0"/>
    <x v="0"/>
    <n v="0"/>
    <n v="1"/>
    <n v="1"/>
    <n v="0"/>
    <m/>
    <n v="46.6"/>
  </r>
  <r>
    <s v="USR-100586"/>
    <d v="2025-01-29T00:00:00"/>
    <x v="0"/>
    <s v="South"/>
    <s v="Mobile"/>
    <s v="Organic"/>
    <s v="Premium"/>
    <n v="1"/>
    <n v="1"/>
    <n v="0"/>
    <x v="0"/>
    <n v="0"/>
    <n v="0"/>
    <n v="0"/>
    <n v="0"/>
    <m/>
    <n v="72.099999999999994"/>
  </r>
  <r>
    <s v="USR-100587"/>
    <d v="2025-05-07T00:00:00"/>
    <x v="0"/>
    <s v="East"/>
    <s v="Tablet"/>
    <s v="Organic"/>
    <s v="Free"/>
    <n v="0"/>
    <n v="0"/>
    <n v="0"/>
    <x v="0"/>
    <n v="0"/>
    <n v="0"/>
    <n v="0"/>
    <n v="0"/>
    <m/>
    <n v="21.5"/>
  </r>
  <r>
    <s v="USR-100588"/>
    <d v="2025-03-01T00:00:00"/>
    <x v="0"/>
    <s v="North"/>
    <s v="Mobile"/>
    <s v="Social"/>
    <s v="Basic"/>
    <n v="1"/>
    <n v="0"/>
    <n v="0"/>
    <x v="0"/>
    <n v="0"/>
    <n v="1"/>
    <n v="1"/>
    <n v="0"/>
    <m/>
    <n v="65.400000000000006"/>
  </r>
  <r>
    <s v="USR-100589"/>
    <d v="2025-04-20T00:00:00"/>
    <x v="0"/>
    <s v="East"/>
    <s v="Mobile"/>
    <s v="Organic"/>
    <s v="Free"/>
    <n v="1"/>
    <n v="1"/>
    <n v="0"/>
    <x v="0"/>
    <n v="0"/>
    <n v="0"/>
    <n v="0"/>
    <n v="0"/>
    <m/>
    <n v="53.3"/>
  </r>
  <r>
    <s v="USR-100590"/>
    <d v="2025-01-16T00:00:00"/>
    <x v="0"/>
    <s v="East"/>
    <s v="Mobile"/>
    <s v="Organic"/>
    <s v="Premium"/>
    <n v="0"/>
    <n v="0"/>
    <n v="0"/>
    <x v="0"/>
    <n v="0"/>
    <n v="2"/>
    <n v="1"/>
    <n v="0"/>
    <m/>
    <n v="52.3"/>
  </r>
  <r>
    <s v="USR-100591"/>
    <d v="2025-04-04T00:00:00"/>
    <x v="0"/>
    <s v="East"/>
    <s v="Mobile"/>
    <s v="Paid Search"/>
    <s v="Free"/>
    <n v="1"/>
    <n v="0"/>
    <n v="0"/>
    <x v="0"/>
    <n v="0"/>
    <n v="0"/>
    <n v="0"/>
    <n v="0"/>
    <m/>
    <n v="62.5"/>
  </r>
  <r>
    <s v="USR-100592"/>
    <d v="2025-01-29T00:00:00"/>
    <x v="0"/>
    <s v="North"/>
    <s v="Tablet"/>
    <s v="Social"/>
    <s v="Free"/>
    <n v="1"/>
    <n v="0"/>
    <n v="0"/>
    <x v="0"/>
    <n v="0"/>
    <n v="0"/>
    <n v="0"/>
    <n v="0"/>
    <m/>
    <n v="69.8"/>
  </r>
  <r>
    <s v="USR-100593"/>
    <d v="2025-04-19T00:00:00"/>
    <x v="0"/>
    <s v="East"/>
    <s v="Mobile"/>
    <s v="Email"/>
    <s v="Free"/>
    <n v="1"/>
    <n v="0"/>
    <n v="0"/>
    <x v="0"/>
    <n v="0"/>
    <n v="0"/>
    <n v="0"/>
    <n v="0"/>
    <m/>
    <n v="68.2"/>
  </r>
  <r>
    <s v="USR-100594"/>
    <d v="2025-03-10T00:00:00"/>
    <x v="0"/>
    <s v="South"/>
    <s v="Mobile"/>
    <s v="Social"/>
    <s v="Basic"/>
    <n v="1"/>
    <n v="1"/>
    <n v="1"/>
    <x v="1"/>
    <n v="751.73"/>
    <n v="0"/>
    <n v="0"/>
    <n v="0"/>
    <n v="6"/>
    <n v="35.200000000000003"/>
  </r>
  <r>
    <s v="USR-100595"/>
    <d v="2025-05-10T00:00:00"/>
    <x v="0"/>
    <s v="South"/>
    <s v="Mobile"/>
    <s v="Social"/>
    <s v="Basic"/>
    <n v="0"/>
    <n v="0"/>
    <n v="0"/>
    <x v="0"/>
    <n v="0"/>
    <n v="0"/>
    <n v="0"/>
    <n v="0"/>
    <m/>
    <n v="59.3"/>
  </r>
  <r>
    <s v="USR-100596"/>
    <d v="2025-02-02T00:00:00"/>
    <x v="0"/>
    <s v="North"/>
    <s v="Mobile"/>
    <s v="Social"/>
    <s v="Free"/>
    <n v="0"/>
    <n v="0"/>
    <n v="0"/>
    <x v="0"/>
    <n v="0"/>
    <n v="0"/>
    <n v="0"/>
    <n v="0"/>
    <m/>
    <n v="68.099999999999994"/>
  </r>
  <r>
    <s v="USR-100597"/>
    <d v="2025-05-06T00:00:00"/>
    <x v="0"/>
    <s v="North"/>
    <s v="Desktop"/>
    <s v="Organic"/>
    <s v="Free"/>
    <n v="1"/>
    <n v="1"/>
    <n v="0"/>
    <x v="0"/>
    <n v="0"/>
    <n v="0"/>
    <n v="0"/>
    <n v="0"/>
    <m/>
    <n v="74.8"/>
  </r>
  <r>
    <s v="USR-100598"/>
    <d v="2025-01-19T00:00:00"/>
    <x v="0"/>
    <s v="West"/>
    <s v="Desktop"/>
    <s v="Organic"/>
    <s v="Free"/>
    <n v="1"/>
    <n v="1"/>
    <n v="1"/>
    <x v="0"/>
    <n v="0"/>
    <n v="0"/>
    <n v="0"/>
    <n v="0"/>
    <m/>
    <n v="61.7"/>
  </r>
  <r>
    <s v="USR-100599"/>
    <d v="2025-01-02T00:00:00"/>
    <x v="0"/>
    <s v="North"/>
    <s v="Mobile"/>
    <s v="Organic"/>
    <s v="Free"/>
    <n v="1"/>
    <n v="0"/>
    <n v="0"/>
    <x v="0"/>
    <n v="0"/>
    <n v="0"/>
    <n v="0"/>
    <n v="0"/>
    <m/>
    <n v="24.3"/>
  </r>
  <r>
    <s v="USR-100600"/>
    <d v="2025-05-03T00:00:00"/>
    <x v="0"/>
    <s v="South"/>
    <s v="Desktop"/>
    <s v="Paid Search"/>
    <s v="Free"/>
    <n v="0"/>
    <n v="0"/>
    <n v="0"/>
    <x v="0"/>
    <n v="0"/>
    <n v="1"/>
    <n v="1"/>
    <n v="0"/>
    <m/>
    <n v="61.9"/>
  </r>
  <r>
    <s v="USR-100601"/>
    <d v="2025-05-27T00:00:00"/>
    <x v="0"/>
    <s v="East"/>
    <s v="Desktop"/>
    <s v="Referral"/>
    <s v="Premium"/>
    <n v="0"/>
    <n v="0"/>
    <n v="0"/>
    <x v="0"/>
    <n v="0"/>
    <n v="2"/>
    <n v="1"/>
    <n v="0"/>
    <m/>
    <n v="41.7"/>
  </r>
  <r>
    <s v="USR-100602"/>
    <d v="2025-02-09T00:00:00"/>
    <x v="0"/>
    <s v="South"/>
    <s v="Desktop"/>
    <s v="Social"/>
    <s v="Free"/>
    <n v="1"/>
    <n v="0"/>
    <n v="0"/>
    <x v="0"/>
    <n v="0"/>
    <n v="0"/>
    <n v="0"/>
    <n v="0"/>
    <m/>
    <n v="87.6"/>
  </r>
  <r>
    <s v="USR-100603"/>
    <d v="2025-05-18T00:00:00"/>
    <x v="0"/>
    <s v="East"/>
    <s v="Mobile"/>
    <s v="Paid Search"/>
    <s v="Free"/>
    <n v="1"/>
    <n v="0"/>
    <n v="0"/>
    <x v="0"/>
    <n v="0"/>
    <n v="0"/>
    <n v="0"/>
    <n v="0"/>
    <m/>
    <n v="30.8"/>
  </r>
  <r>
    <s v="USR-100604"/>
    <d v="2025-05-17T00:00:00"/>
    <x v="0"/>
    <s v="North"/>
    <s v="Mobile"/>
    <s v="Email"/>
    <s v="Free"/>
    <n v="0"/>
    <n v="0"/>
    <n v="0"/>
    <x v="0"/>
    <n v="0"/>
    <n v="0"/>
    <n v="0"/>
    <n v="0"/>
    <m/>
    <n v="54"/>
  </r>
  <r>
    <s v="USR-100605"/>
    <d v="2025-01-25T00:00:00"/>
    <x v="0"/>
    <s v="East"/>
    <s v="Desktop"/>
    <s v="Referral"/>
    <s v="Basic"/>
    <n v="1"/>
    <n v="0"/>
    <n v="0"/>
    <x v="0"/>
    <n v="0"/>
    <n v="1"/>
    <n v="1"/>
    <n v="0"/>
    <m/>
    <n v="54.5"/>
  </r>
  <r>
    <s v="USR-100606"/>
    <d v="2025-05-04T00:00:00"/>
    <x v="0"/>
    <s v="West"/>
    <s v="Mobile"/>
    <s v="Paid Search"/>
    <s v="Premium"/>
    <n v="1"/>
    <n v="1"/>
    <n v="0"/>
    <x v="0"/>
    <n v="0"/>
    <n v="0"/>
    <n v="0"/>
    <n v="0"/>
    <m/>
    <n v="61.3"/>
  </r>
  <r>
    <s v="USR-100607"/>
    <d v="2025-04-14T00:00:00"/>
    <x v="0"/>
    <s v="West"/>
    <s v="Mobile"/>
    <s v="Organic"/>
    <s v="Free"/>
    <n v="1"/>
    <n v="0"/>
    <n v="0"/>
    <x v="0"/>
    <n v="0"/>
    <n v="0"/>
    <n v="0"/>
    <n v="0"/>
    <m/>
    <n v="62.7"/>
  </r>
  <r>
    <s v="USR-100608"/>
    <d v="2025-04-18T00:00:00"/>
    <x v="0"/>
    <s v="South"/>
    <s v="Mobile"/>
    <s v="Paid Search"/>
    <s v="Free"/>
    <n v="1"/>
    <n v="1"/>
    <n v="0"/>
    <x v="0"/>
    <n v="0"/>
    <n v="0"/>
    <n v="0"/>
    <n v="0"/>
    <m/>
    <n v="43.1"/>
  </r>
  <r>
    <s v="USR-100609"/>
    <d v="2025-02-24T00:00:00"/>
    <x v="0"/>
    <s v="South"/>
    <s v="Desktop"/>
    <s v="Email"/>
    <s v="Basic"/>
    <n v="0"/>
    <n v="0"/>
    <n v="0"/>
    <x v="0"/>
    <n v="0"/>
    <n v="0"/>
    <n v="0"/>
    <n v="0"/>
    <m/>
    <n v="59.9"/>
  </r>
  <r>
    <s v="USR-100610"/>
    <d v="2025-04-19T00:00:00"/>
    <x v="0"/>
    <s v="North"/>
    <s v="Tablet"/>
    <s v="Paid Search"/>
    <s v="Free"/>
    <n v="1"/>
    <n v="1"/>
    <n v="1"/>
    <x v="0"/>
    <n v="0"/>
    <n v="0"/>
    <n v="0"/>
    <n v="0"/>
    <m/>
    <n v="55.7"/>
  </r>
  <r>
    <s v="USR-100611"/>
    <d v="2025-03-07T00:00:00"/>
    <x v="0"/>
    <s v="South"/>
    <s v="Desktop"/>
    <s v="Organic"/>
    <s v="Basic"/>
    <n v="1"/>
    <n v="0"/>
    <n v="0"/>
    <x v="0"/>
    <n v="0"/>
    <n v="0"/>
    <n v="0"/>
    <n v="0"/>
    <m/>
    <n v="37.1"/>
  </r>
  <r>
    <s v="USR-100612"/>
    <d v="2025-03-09T00:00:00"/>
    <x v="0"/>
    <s v="East"/>
    <s v="Mobile"/>
    <s v="Organic"/>
    <s v="Basic"/>
    <n v="0"/>
    <n v="0"/>
    <n v="0"/>
    <x v="0"/>
    <n v="0"/>
    <n v="1"/>
    <n v="1"/>
    <n v="0"/>
    <m/>
    <n v="46.7"/>
  </r>
  <r>
    <s v="USR-100613"/>
    <d v="2025-05-01T00:00:00"/>
    <x v="0"/>
    <s v="South"/>
    <s v="Desktop"/>
    <s v="Organic"/>
    <s v="Basic"/>
    <n v="1"/>
    <n v="0"/>
    <n v="0"/>
    <x v="0"/>
    <n v="0"/>
    <n v="0"/>
    <n v="0"/>
    <n v="0"/>
    <m/>
    <n v="54.1"/>
  </r>
  <r>
    <s v="USR-100614"/>
    <d v="2025-02-09T00:00:00"/>
    <x v="0"/>
    <s v="West"/>
    <s v="Desktop"/>
    <s v="Organic"/>
    <s v="Premium"/>
    <n v="1"/>
    <n v="1"/>
    <n v="1"/>
    <x v="0"/>
    <n v="0"/>
    <n v="0"/>
    <n v="0"/>
    <n v="0"/>
    <m/>
    <n v="56.1"/>
  </r>
  <r>
    <s v="USR-100615"/>
    <d v="2025-05-22T00:00:00"/>
    <x v="0"/>
    <s v="West"/>
    <s v="Mobile"/>
    <s v="Referral"/>
    <s v="Premium"/>
    <n v="0"/>
    <n v="0"/>
    <n v="0"/>
    <x v="0"/>
    <n v="0"/>
    <n v="0"/>
    <n v="0"/>
    <n v="0"/>
    <m/>
    <n v="23.6"/>
  </r>
  <r>
    <s v="USR-100616"/>
    <d v="2025-02-11T00:00:00"/>
    <x v="0"/>
    <s v="North"/>
    <s v="Mobile"/>
    <s v="Organic"/>
    <s v="Premium"/>
    <n v="0"/>
    <n v="0"/>
    <n v="0"/>
    <x v="0"/>
    <n v="0"/>
    <n v="0"/>
    <n v="0"/>
    <n v="0"/>
    <m/>
    <n v="54.7"/>
  </r>
  <r>
    <s v="USR-100617"/>
    <d v="2025-04-12T00:00:00"/>
    <x v="0"/>
    <s v="North"/>
    <s v="Mobile"/>
    <s v="Referral"/>
    <s v="Basic"/>
    <n v="0"/>
    <n v="0"/>
    <n v="0"/>
    <x v="0"/>
    <n v="0"/>
    <n v="2"/>
    <n v="1"/>
    <n v="0"/>
    <m/>
    <n v="50.4"/>
  </r>
  <r>
    <s v="USR-100618"/>
    <d v="2025-03-01T00:00:00"/>
    <x v="0"/>
    <s v="West"/>
    <s v="Mobile"/>
    <s v="Social"/>
    <s v="Free"/>
    <n v="1"/>
    <n v="0"/>
    <n v="0"/>
    <x v="0"/>
    <n v="0"/>
    <n v="0"/>
    <n v="0"/>
    <n v="0"/>
    <m/>
    <n v="54.5"/>
  </r>
  <r>
    <s v="USR-100619"/>
    <d v="2025-03-17T00:00:00"/>
    <x v="0"/>
    <s v="West"/>
    <s v="Desktop"/>
    <s v="Email"/>
    <s v="Basic"/>
    <n v="0"/>
    <n v="0"/>
    <n v="0"/>
    <x v="0"/>
    <n v="0"/>
    <n v="0"/>
    <n v="0"/>
    <n v="0"/>
    <m/>
    <n v="58"/>
  </r>
  <r>
    <s v="USR-100620"/>
    <d v="2025-01-11T00:00:00"/>
    <x v="0"/>
    <s v="North"/>
    <s v="Mobile"/>
    <s v="Paid Search"/>
    <s v="Free"/>
    <n v="0"/>
    <n v="0"/>
    <n v="0"/>
    <x v="0"/>
    <n v="0"/>
    <n v="0"/>
    <n v="0"/>
    <n v="0"/>
    <m/>
    <n v="42.9"/>
  </r>
  <r>
    <s v="USR-100621"/>
    <d v="2025-02-17T00:00:00"/>
    <x v="0"/>
    <s v="South"/>
    <s v="Mobile"/>
    <s v="Social"/>
    <s v="Premium"/>
    <n v="1"/>
    <n v="0"/>
    <n v="0"/>
    <x v="0"/>
    <n v="0"/>
    <n v="0"/>
    <n v="0"/>
    <n v="0"/>
    <m/>
    <n v="51.1"/>
  </r>
  <r>
    <s v="USR-100622"/>
    <d v="2025-03-25T00:00:00"/>
    <x v="0"/>
    <s v="East"/>
    <s v="Mobile"/>
    <s v="Paid Search"/>
    <s v="Basic"/>
    <n v="1"/>
    <n v="1"/>
    <n v="0"/>
    <x v="0"/>
    <n v="0"/>
    <n v="0"/>
    <n v="0"/>
    <n v="0"/>
    <m/>
    <n v="51.8"/>
  </r>
  <r>
    <s v="USR-100623"/>
    <d v="2025-05-01T00:00:00"/>
    <x v="0"/>
    <s v="South"/>
    <s v="Mobile"/>
    <s v="Paid Search"/>
    <s v="Free"/>
    <n v="0"/>
    <n v="0"/>
    <n v="0"/>
    <x v="0"/>
    <n v="0"/>
    <n v="0"/>
    <n v="0"/>
    <n v="0"/>
    <m/>
    <n v="67.7"/>
  </r>
  <r>
    <s v="USR-100624"/>
    <d v="2025-04-02T00:00:00"/>
    <x v="0"/>
    <s v="East"/>
    <s v="Mobile"/>
    <s v="Organic"/>
    <s v="Basic"/>
    <n v="0"/>
    <n v="0"/>
    <n v="0"/>
    <x v="0"/>
    <n v="0"/>
    <n v="0"/>
    <n v="0"/>
    <n v="0"/>
    <m/>
    <n v="75.8"/>
  </r>
  <r>
    <s v="USR-100625"/>
    <d v="2025-04-05T00:00:00"/>
    <x v="0"/>
    <s v="East"/>
    <s v="Mobile"/>
    <s v="Email"/>
    <s v="Free"/>
    <n v="1"/>
    <n v="1"/>
    <n v="0"/>
    <x v="0"/>
    <n v="0"/>
    <n v="0"/>
    <n v="0"/>
    <n v="0"/>
    <m/>
    <n v="72.8"/>
  </r>
  <r>
    <s v="USR-100626"/>
    <d v="2025-02-24T00:00:00"/>
    <x v="0"/>
    <s v="North"/>
    <s v="Desktop"/>
    <s v="Social"/>
    <s v="Free"/>
    <n v="1"/>
    <n v="1"/>
    <n v="0"/>
    <x v="0"/>
    <n v="0"/>
    <n v="0"/>
    <n v="0"/>
    <n v="0"/>
    <m/>
    <n v="54.4"/>
  </r>
  <r>
    <s v="USR-100627"/>
    <d v="2025-01-24T00:00:00"/>
    <x v="0"/>
    <s v="West"/>
    <s v="Mobile"/>
    <s v="Paid Search"/>
    <s v="Basic"/>
    <n v="1"/>
    <n v="0"/>
    <n v="0"/>
    <x v="0"/>
    <n v="0"/>
    <n v="0"/>
    <n v="0"/>
    <n v="0"/>
    <m/>
    <n v="51.8"/>
  </r>
  <r>
    <s v="USR-100628"/>
    <d v="2025-04-10T00:00:00"/>
    <x v="0"/>
    <s v="South"/>
    <s v="Mobile"/>
    <s v="Paid Search"/>
    <s v="Free"/>
    <n v="0"/>
    <n v="0"/>
    <n v="0"/>
    <x v="0"/>
    <n v="0"/>
    <n v="0"/>
    <n v="0"/>
    <n v="0"/>
    <m/>
    <n v="40.299999999999997"/>
  </r>
  <r>
    <s v="USR-100629"/>
    <d v="2025-02-19T00:00:00"/>
    <x v="0"/>
    <s v="South"/>
    <s v="Mobile"/>
    <s v="Referral"/>
    <s v="Free"/>
    <n v="1"/>
    <n v="1"/>
    <n v="1"/>
    <x v="0"/>
    <n v="0"/>
    <n v="0"/>
    <n v="0"/>
    <n v="0"/>
    <m/>
    <n v="61.7"/>
  </r>
  <r>
    <s v="USR-100630"/>
    <d v="2025-03-22T00:00:00"/>
    <x v="0"/>
    <s v="North"/>
    <s v="Mobile"/>
    <s v="Social"/>
    <s v="Free"/>
    <n v="0"/>
    <n v="0"/>
    <n v="0"/>
    <x v="0"/>
    <n v="0"/>
    <n v="0"/>
    <n v="0"/>
    <n v="0"/>
    <m/>
    <n v="45"/>
  </r>
  <r>
    <s v="USR-100631"/>
    <d v="2025-04-08T00:00:00"/>
    <x v="0"/>
    <s v="East"/>
    <s v="Desktop"/>
    <s v="Organic"/>
    <s v="Premium"/>
    <n v="1"/>
    <n v="1"/>
    <n v="1"/>
    <x v="0"/>
    <n v="0"/>
    <n v="0"/>
    <n v="0"/>
    <n v="0"/>
    <m/>
    <n v="60"/>
  </r>
  <r>
    <s v="USR-100632"/>
    <d v="2025-03-16T00:00:00"/>
    <x v="0"/>
    <s v="North"/>
    <s v="Mobile"/>
    <s v="Social"/>
    <s v="Free"/>
    <n v="1"/>
    <n v="0"/>
    <n v="0"/>
    <x v="0"/>
    <n v="0"/>
    <n v="0"/>
    <n v="0"/>
    <n v="0"/>
    <m/>
    <m/>
  </r>
  <r>
    <s v="USR-100633"/>
    <d v="2025-03-07T00:00:00"/>
    <x v="0"/>
    <s v="East"/>
    <s v="Mobile"/>
    <s v="Paid Search"/>
    <s v="Free"/>
    <n v="1"/>
    <n v="0"/>
    <n v="0"/>
    <x v="0"/>
    <n v="0"/>
    <n v="0"/>
    <n v="0"/>
    <n v="0"/>
    <m/>
    <n v="55.5"/>
  </r>
  <r>
    <s v="USR-100634"/>
    <d v="2025-03-16T00:00:00"/>
    <x v="0"/>
    <s v="South"/>
    <s v="Mobile"/>
    <s v="Referral"/>
    <s v="Basic"/>
    <n v="0"/>
    <n v="0"/>
    <n v="0"/>
    <x v="0"/>
    <n v="0"/>
    <n v="0"/>
    <n v="0"/>
    <n v="0"/>
    <m/>
    <n v="51.8"/>
  </r>
  <r>
    <s v="USR-100635"/>
    <d v="2025-05-26T00:00:00"/>
    <x v="0"/>
    <s v="East"/>
    <s v="Mobile"/>
    <m/>
    <s v="Premium"/>
    <n v="1"/>
    <n v="0"/>
    <n v="0"/>
    <x v="0"/>
    <n v="0"/>
    <n v="3"/>
    <n v="1"/>
    <n v="0"/>
    <m/>
    <n v="56"/>
  </r>
  <r>
    <s v="USR-100636"/>
    <d v="2025-01-14T00:00:00"/>
    <x v="0"/>
    <s v="West"/>
    <s v="Mobile"/>
    <s v="Organic"/>
    <s v="Free"/>
    <n v="0"/>
    <n v="0"/>
    <n v="0"/>
    <x v="0"/>
    <n v="0"/>
    <n v="0"/>
    <n v="0"/>
    <n v="0"/>
    <m/>
    <n v="52.5"/>
  </r>
  <r>
    <s v="USR-100637"/>
    <d v="2025-03-30T00:00:00"/>
    <x v="0"/>
    <s v="West"/>
    <s v="Mobile"/>
    <s v="Paid Search"/>
    <s v="Premium"/>
    <n v="1"/>
    <n v="0"/>
    <n v="0"/>
    <x v="0"/>
    <n v="0"/>
    <n v="0"/>
    <n v="0"/>
    <n v="0"/>
    <m/>
    <n v="42.5"/>
  </r>
  <r>
    <s v="USR-100638"/>
    <d v="2025-05-12T00:00:00"/>
    <x v="0"/>
    <s v="East"/>
    <s v="Desktop"/>
    <s v="Email"/>
    <s v="Free"/>
    <n v="1"/>
    <n v="1"/>
    <n v="1"/>
    <x v="0"/>
    <n v="0"/>
    <n v="0"/>
    <n v="0"/>
    <n v="0"/>
    <m/>
    <n v="65.3"/>
  </r>
  <r>
    <s v="USR-100639"/>
    <d v="2025-05-10T00:00:00"/>
    <x v="0"/>
    <s v="West"/>
    <s v="Mobile"/>
    <s v="Paid Search"/>
    <s v="Free"/>
    <n v="0"/>
    <n v="0"/>
    <n v="0"/>
    <x v="0"/>
    <n v="0"/>
    <n v="0"/>
    <n v="0"/>
    <n v="0"/>
    <m/>
    <n v="37.6"/>
  </r>
  <r>
    <s v="USR-100640"/>
    <d v="2025-04-09T00:00:00"/>
    <x v="0"/>
    <s v="East"/>
    <s v="Mobile"/>
    <s v="Social"/>
    <s v="Basic"/>
    <n v="0"/>
    <n v="0"/>
    <n v="0"/>
    <x v="0"/>
    <n v="0"/>
    <n v="0"/>
    <n v="0"/>
    <n v="0"/>
    <m/>
    <n v="57.8"/>
  </r>
  <r>
    <s v="USR-100641"/>
    <d v="2025-05-26T00:00:00"/>
    <x v="0"/>
    <s v="North"/>
    <s v="Mobile"/>
    <s v="Social"/>
    <s v="Free"/>
    <n v="1"/>
    <n v="0"/>
    <n v="0"/>
    <x v="0"/>
    <n v="0"/>
    <n v="0"/>
    <n v="0"/>
    <n v="0"/>
    <m/>
    <n v="52.7"/>
  </r>
  <r>
    <s v="USR-100642"/>
    <d v="2025-02-12T00:00:00"/>
    <x v="0"/>
    <s v="North"/>
    <s v="Mobile"/>
    <s v="Organic"/>
    <s v="Free"/>
    <n v="1"/>
    <n v="0"/>
    <n v="0"/>
    <x v="0"/>
    <n v="0"/>
    <n v="0"/>
    <n v="0"/>
    <n v="0"/>
    <m/>
    <n v="51.7"/>
  </r>
  <r>
    <s v="USR-100643"/>
    <d v="2025-04-01T00:00:00"/>
    <x v="0"/>
    <s v="North"/>
    <s v="Desktop"/>
    <s v="Email"/>
    <s v="Basic"/>
    <n v="0"/>
    <n v="0"/>
    <n v="0"/>
    <x v="0"/>
    <n v="0"/>
    <n v="0"/>
    <n v="0"/>
    <n v="0"/>
    <m/>
    <n v="57"/>
  </r>
  <r>
    <s v="USR-100644"/>
    <d v="2025-01-18T00:00:00"/>
    <x v="0"/>
    <s v="South"/>
    <s v="Desktop"/>
    <s v="Organic"/>
    <s v="Basic"/>
    <n v="0"/>
    <n v="0"/>
    <n v="0"/>
    <x v="0"/>
    <n v="0"/>
    <n v="0"/>
    <n v="0"/>
    <n v="0"/>
    <m/>
    <n v="39.5"/>
  </r>
  <r>
    <s v="USR-100645"/>
    <d v="2025-04-06T00:00:00"/>
    <x v="0"/>
    <s v="East"/>
    <s v="Tablet"/>
    <s v="Organic"/>
    <s v="Free"/>
    <n v="1"/>
    <n v="0"/>
    <n v="0"/>
    <x v="0"/>
    <n v="0"/>
    <n v="0"/>
    <n v="0"/>
    <n v="0"/>
    <m/>
    <n v="76.5"/>
  </r>
  <r>
    <s v="USR-100646"/>
    <d v="2025-04-17T00:00:00"/>
    <x v="0"/>
    <s v="East"/>
    <s v="Mobile"/>
    <s v="Organic"/>
    <s v="Free"/>
    <n v="1"/>
    <n v="0"/>
    <n v="0"/>
    <x v="0"/>
    <n v="0"/>
    <n v="0"/>
    <n v="0"/>
    <n v="0"/>
    <m/>
    <n v="32.4"/>
  </r>
  <r>
    <s v="USR-100647"/>
    <d v="2025-02-07T00:00:00"/>
    <x v="0"/>
    <s v="North"/>
    <s v="Desktop"/>
    <s v="Paid Search"/>
    <s v="Free"/>
    <n v="0"/>
    <n v="0"/>
    <n v="0"/>
    <x v="0"/>
    <n v="0"/>
    <n v="0"/>
    <n v="0"/>
    <n v="0"/>
    <m/>
    <n v="58.6"/>
  </r>
  <r>
    <s v="USR-100648"/>
    <d v="2025-03-04T00:00:00"/>
    <x v="0"/>
    <s v="East"/>
    <s v="Mobile"/>
    <s v="Organic"/>
    <s v="Basic"/>
    <n v="1"/>
    <n v="0"/>
    <n v="0"/>
    <x v="0"/>
    <n v="0"/>
    <n v="0"/>
    <n v="0"/>
    <n v="0"/>
    <m/>
    <n v="78.599999999999994"/>
  </r>
  <r>
    <s v="USR-100649"/>
    <d v="2025-02-17T00:00:00"/>
    <x v="0"/>
    <s v="North"/>
    <s v="Desktop"/>
    <s v="Organic"/>
    <s v="Premium"/>
    <n v="0"/>
    <n v="0"/>
    <n v="0"/>
    <x v="0"/>
    <n v="0"/>
    <n v="0"/>
    <n v="0"/>
    <n v="0"/>
    <m/>
    <n v="54.5"/>
  </r>
  <r>
    <s v="USR-100650"/>
    <d v="2025-05-06T00:00:00"/>
    <x v="0"/>
    <s v="South"/>
    <s v="Mobile"/>
    <s v="Referral"/>
    <s v="Free"/>
    <n v="1"/>
    <n v="0"/>
    <n v="0"/>
    <x v="0"/>
    <n v="0"/>
    <n v="0"/>
    <n v="0"/>
    <n v="0"/>
    <m/>
    <n v="57.6"/>
  </r>
  <r>
    <s v="USR-100651"/>
    <d v="2025-03-25T00:00:00"/>
    <x v="0"/>
    <s v="South"/>
    <s v="Mobile"/>
    <s v="Referral"/>
    <s v="Premium"/>
    <n v="0"/>
    <n v="0"/>
    <n v="0"/>
    <x v="0"/>
    <n v="0"/>
    <n v="0"/>
    <n v="0"/>
    <n v="0"/>
    <m/>
    <n v="52.8"/>
  </r>
  <r>
    <s v="USR-100652"/>
    <d v="2025-03-04T00:00:00"/>
    <x v="0"/>
    <s v="West"/>
    <s v="Mobile"/>
    <s v="Email"/>
    <s v="Premium"/>
    <n v="1"/>
    <n v="0"/>
    <n v="0"/>
    <x v="0"/>
    <n v="0"/>
    <n v="0"/>
    <n v="0"/>
    <n v="0"/>
    <m/>
    <n v="52.9"/>
  </r>
  <r>
    <s v="USR-100653"/>
    <d v="2025-05-09T00:00:00"/>
    <x v="0"/>
    <s v="West"/>
    <s v="Mobile"/>
    <s v="Organic"/>
    <s v="Free"/>
    <n v="1"/>
    <n v="0"/>
    <n v="0"/>
    <x v="0"/>
    <n v="0"/>
    <n v="1"/>
    <n v="1"/>
    <n v="0"/>
    <m/>
    <n v="55.9"/>
  </r>
  <r>
    <s v="USR-100654"/>
    <d v="2025-05-17T00:00:00"/>
    <x v="0"/>
    <s v="West"/>
    <s v="Mobile"/>
    <s v="Referral"/>
    <s v="Premium"/>
    <n v="1"/>
    <n v="0"/>
    <n v="0"/>
    <x v="0"/>
    <n v="0"/>
    <n v="0"/>
    <n v="0"/>
    <n v="0"/>
    <m/>
    <n v="74.2"/>
  </r>
  <r>
    <s v="USR-100655"/>
    <d v="2025-01-12T00:00:00"/>
    <x v="0"/>
    <s v="West"/>
    <s v="Mobile"/>
    <s v="Organic"/>
    <s v="Free"/>
    <n v="0"/>
    <n v="0"/>
    <n v="0"/>
    <x v="0"/>
    <n v="0"/>
    <n v="0"/>
    <n v="0"/>
    <n v="0"/>
    <m/>
    <n v="46.3"/>
  </r>
  <r>
    <s v="USR-100656"/>
    <d v="2025-03-12T00:00:00"/>
    <x v="0"/>
    <s v="West"/>
    <s v="Mobile"/>
    <s v="Organic"/>
    <s v="Premium"/>
    <n v="1"/>
    <n v="0"/>
    <n v="0"/>
    <x v="0"/>
    <n v="0"/>
    <n v="0"/>
    <n v="0"/>
    <n v="0"/>
    <m/>
    <n v="62"/>
  </r>
  <r>
    <s v="USR-100657"/>
    <d v="2025-04-02T00:00:00"/>
    <x v="0"/>
    <s v="South"/>
    <s v="Mobile"/>
    <s v="Organic"/>
    <s v="Basic"/>
    <n v="0"/>
    <n v="0"/>
    <n v="0"/>
    <x v="0"/>
    <n v="0"/>
    <n v="0"/>
    <n v="0"/>
    <n v="0"/>
    <m/>
    <n v="55.6"/>
  </r>
  <r>
    <s v="USR-100658"/>
    <d v="2025-01-13T00:00:00"/>
    <x v="0"/>
    <s v="South"/>
    <s v="Mobile"/>
    <s v="Organic"/>
    <s v="Basic"/>
    <n v="1"/>
    <n v="0"/>
    <n v="0"/>
    <x v="0"/>
    <n v="0"/>
    <n v="0"/>
    <n v="0"/>
    <n v="0"/>
    <m/>
    <n v="62.8"/>
  </r>
  <r>
    <s v="USR-100659"/>
    <d v="2025-03-07T00:00:00"/>
    <x v="0"/>
    <s v="East"/>
    <s v="Mobile"/>
    <s v="Referral"/>
    <s v="Free"/>
    <n v="0"/>
    <n v="0"/>
    <n v="0"/>
    <x v="0"/>
    <n v="0"/>
    <n v="0"/>
    <n v="0"/>
    <n v="0"/>
    <m/>
    <n v="73.099999999999994"/>
  </r>
  <r>
    <s v="USR-100660"/>
    <d v="2025-04-20T00:00:00"/>
    <x v="0"/>
    <s v="South"/>
    <s v="Desktop"/>
    <s v="Social"/>
    <s v="Free"/>
    <n v="1"/>
    <n v="1"/>
    <n v="1"/>
    <x v="1"/>
    <n v="347.52"/>
    <n v="0"/>
    <n v="0"/>
    <n v="0"/>
    <n v="2"/>
    <n v="57.2"/>
  </r>
  <r>
    <s v="USR-100661"/>
    <d v="2025-01-07T00:00:00"/>
    <x v="0"/>
    <s v="South"/>
    <s v="Mobile"/>
    <s v="Paid Search"/>
    <s v="Free"/>
    <n v="1"/>
    <n v="0"/>
    <n v="0"/>
    <x v="0"/>
    <n v="0"/>
    <n v="0"/>
    <n v="0"/>
    <n v="0"/>
    <m/>
    <n v="67.900000000000006"/>
  </r>
  <r>
    <s v="USR-100662"/>
    <d v="2025-04-23T00:00:00"/>
    <x v="0"/>
    <s v="South"/>
    <s v="Mobile"/>
    <s v="Referral"/>
    <s v="Free"/>
    <n v="0"/>
    <n v="0"/>
    <n v="0"/>
    <x v="0"/>
    <n v="0"/>
    <n v="0"/>
    <n v="0"/>
    <n v="0"/>
    <m/>
    <n v="50.1"/>
  </r>
  <r>
    <s v="USR-100663"/>
    <d v="2025-05-26T00:00:00"/>
    <x v="0"/>
    <s v="North"/>
    <s v="Mobile"/>
    <s v="Paid Search"/>
    <s v="Basic"/>
    <n v="0"/>
    <n v="0"/>
    <n v="0"/>
    <x v="0"/>
    <n v="0"/>
    <n v="0"/>
    <n v="0"/>
    <n v="0"/>
    <m/>
    <n v="67.8"/>
  </r>
  <r>
    <s v="USR-100664"/>
    <d v="2025-03-17T00:00:00"/>
    <x v="0"/>
    <s v="North"/>
    <s v="Desktop"/>
    <s v="Social"/>
    <s v="Basic"/>
    <n v="1"/>
    <n v="1"/>
    <n v="1"/>
    <x v="0"/>
    <n v="0"/>
    <n v="0"/>
    <n v="0"/>
    <n v="0"/>
    <m/>
    <n v="60.8"/>
  </r>
  <r>
    <s v="USR-100665"/>
    <d v="2025-05-17T00:00:00"/>
    <x v="0"/>
    <s v="North"/>
    <s v="Desktop"/>
    <s v="Paid Search"/>
    <s v="Basic"/>
    <n v="1"/>
    <n v="0"/>
    <n v="0"/>
    <x v="0"/>
    <n v="0"/>
    <n v="3"/>
    <n v="1"/>
    <n v="0"/>
    <m/>
    <n v="33.700000000000003"/>
  </r>
  <r>
    <s v="USR-100666"/>
    <d v="2025-02-21T00:00:00"/>
    <x v="0"/>
    <s v="North"/>
    <s v="Mobile"/>
    <s v="Paid Search"/>
    <s v="Basic"/>
    <n v="0"/>
    <n v="0"/>
    <n v="0"/>
    <x v="0"/>
    <n v="0"/>
    <n v="0"/>
    <n v="0"/>
    <n v="0"/>
    <m/>
    <n v="45.2"/>
  </r>
  <r>
    <s v="USR-100667"/>
    <d v="2025-02-25T00:00:00"/>
    <x v="0"/>
    <s v="East"/>
    <s v="Desktop"/>
    <s v="Paid Search"/>
    <s v="Premium"/>
    <n v="0"/>
    <n v="0"/>
    <n v="0"/>
    <x v="0"/>
    <n v="0"/>
    <n v="0"/>
    <n v="0"/>
    <n v="0"/>
    <m/>
    <n v="48.2"/>
  </r>
  <r>
    <s v="USR-100668"/>
    <d v="2025-01-30T00:00:00"/>
    <x v="0"/>
    <s v="South"/>
    <s v="Mobile"/>
    <s v="Social"/>
    <s v="Free"/>
    <n v="1"/>
    <n v="1"/>
    <n v="0"/>
    <x v="0"/>
    <n v="0"/>
    <n v="1"/>
    <n v="1"/>
    <n v="0"/>
    <m/>
    <n v="44.8"/>
  </r>
  <r>
    <s v="USR-100669"/>
    <d v="2025-02-17T00:00:00"/>
    <x v="0"/>
    <s v="North"/>
    <s v="Tablet"/>
    <s v="Social"/>
    <s v="Basic"/>
    <n v="0"/>
    <n v="0"/>
    <n v="0"/>
    <x v="0"/>
    <n v="0"/>
    <n v="0"/>
    <n v="0"/>
    <n v="0"/>
    <m/>
    <n v="52.1"/>
  </r>
  <r>
    <s v="USR-100670"/>
    <d v="2025-05-17T00:00:00"/>
    <x v="0"/>
    <s v="North"/>
    <s v="Desktop"/>
    <s v="Paid Search"/>
    <s v="Basic"/>
    <n v="1"/>
    <n v="0"/>
    <n v="0"/>
    <x v="0"/>
    <n v="0"/>
    <n v="0"/>
    <n v="0"/>
    <n v="0"/>
    <m/>
    <n v="30.7"/>
  </r>
  <r>
    <s v="USR-100671"/>
    <d v="2025-04-30T00:00:00"/>
    <x v="0"/>
    <s v="East"/>
    <s v="Desktop"/>
    <s v="Paid Search"/>
    <s v="Free"/>
    <n v="1"/>
    <n v="0"/>
    <n v="0"/>
    <x v="0"/>
    <n v="0"/>
    <n v="0"/>
    <n v="0"/>
    <n v="0"/>
    <m/>
    <n v="58.4"/>
  </r>
  <r>
    <s v="USR-100672"/>
    <d v="2025-03-22T00:00:00"/>
    <x v="0"/>
    <s v="West"/>
    <s v="Mobile"/>
    <s v="Referral"/>
    <s v="Free"/>
    <n v="1"/>
    <n v="1"/>
    <n v="0"/>
    <x v="0"/>
    <n v="0"/>
    <n v="0"/>
    <n v="0"/>
    <n v="0"/>
    <m/>
    <n v="52.6"/>
  </r>
  <r>
    <s v="USR-100673"/>
    <d v="2025-01-10T00:00:00"/>
    <x v="0"/>
    <s v="West"/>
    <m/>
    <s v="Paid Search"/>
    <s v="Free"/>
    <n v="1"/>
    <n v="0"/>
    <n v="0"/>
    <x v="0"/>
    <n v="0"/>
    <n v="1"/>
    <n v="1"/>
    <n v="0"/>
    <m/>
    <n v="19.100000000000001"/>
  </r>
  <r>
    <s v="USR-100674"/>
    <d v="2025-03-21T00:00:00"/>
    <x v="0"/>
    <s v="South"/>
    <m/>
    <s v="Paid Search"/>
    <s v="Free"/>
    <n v="1"/>
    <n v="0"/>
    <n v="0"/>
    <x v="0"/>
    <n v="0"/>
    <n v="0"/>
    <n v="0"/>
    <n v="0"/>
    <m/>
    <n v="36.799999999999997"/>
  </r>
  <r>
    <s v="USR-100675"/>
    <d v="2025-05-12T00:00:00"/>
    <x v="0"/>
    <s v="North"/>
    <s v="Desktop"/>
    <s v="Paid Search"/>
    <s v="Basic"/>
    <n v="0"/>
    <n v="0"/>
    <n v="0"/>
    <x v="0"/>
    <n v="0"/>
    <n v="0"/>
    <n v="0"/>
    <n v="0"/>
    <m/>
    <n v="68.5"/>
  </r>
  <r>
    <s v="USR-100676"/>
    <d v="2025-05-24T00:00:00"/>
    <x v="0"/>
    <s v="West"/>
    <s v="Mobile"/>
    <s v="Paid Search"/>
    <s v="Free"/>
    <n v="1"/>
    <n v="1"/>
    <n v="1"/>
    <x v="0"/>
    <n v="0"/>
    <n v="0"/>
    <n v="0"/>
    <n v="0"/>
    <m/>
    <n v="40.1"/>
  </r>
  <r>
    <s v="USR-100677"/>
    <d v="2025-05-03T00:00:00"/>
    <x v="0"/>
    <s v="West"/>
    <s v="Tablet"/>
    <s v="Organic"/>
    <s v="Free"/>
    <n v="1"/>
    <n v="0"/>
    <n v="0"/>
    <x v="0"/>
    <n v="0"/>
    <n v="0"/>
    <n v="0"/>
    <n v="0"/>
    <m/>
    <n v="47.5"/>
  </r>
  <r>
    <s v="USR-100678"/>
    <d v="2025-01-14T00:00:00"/>
    <x v="0"/>
    <s v="South"/>
    <s v="Mobile"/>
    <s v="Organic"/>
    <s v="Basic"/>
    <n v="1"/>
    <n v="0"/>
    <n v="0"/>
    <x v="0"/>
    <n v="0"/>
    <n v="0"/>
    <n v="0"/>
    <n v="0"/>
    <m/>
    <n v="77.099999999999994"/>
  </r>
  <r>
    <s v="USR-100679"/>
    <d v="2025-03-27T00:00:00"/>
    <x v="0"/>
    <s v="West"/>
    <s v="Mobile"/>
    <s v="Social"/>
    <s v="Basic"/>
    <n v="1"/>
    <n v="0"/>
    <n v="0"/>
    <x v="0"/>
    <n v="0"/>
    <n v="0"/>
    <n v="0"/>
    <n v="0"/>
    <m/>
    <n v="75.900000000000006"/>
  </r>
  <r>
    <s v="USR-100680"/>
    <d v="2025-02-28T00:00:00"/>
    <x v="0"/>
    <s v="North"/>
    <s v="Desktop"/>
    <s v="Referral"/>
    <s v="Premium"/>
    <n v="0"/>
    <n v="0"/>
    <n v="0"/>
    <x v="0"/>
    <n v="0"/>
    <n v="1"/>
    <n v="1"/>
    <n v="0"/>
    <m/>
    <n v="52"/>
  </r>
  <r>
    <s v="USR-100681"/>
    <d v="2025-05-12T00:00:00"/>
    <x v="0"/>
    <s v="West"/>
    <s v="Desktop"/>
    <s v="Referral"/>
    <s v="Premium"/>
    <n v="1"/>
    <n v="1"/>
    <n v="1"/>
    <x v="0"/>
    <n v="0"/>
    <n v="0"/>
    <n v="0"/>
    <n v="0"/>
    <m/>
    <n v="64.900000000000006"/>
  </r>
  <r>
    <s v="USR-100682"/>
    <d v="2025-03-14T00:00:00"/>
    <x v="0"/>
    <s v="North"/>
    <s v="Mobile"/>
    <s v="Organic"/>
    <s v="Free"/>
    <n v="1"/>
    <n v="0"/>
    <n v="0"/>
    <x v="0"/>
    <n v="0"/>
    <n v="0"/>
    <n v="0"/>
    <n v="0"/>
    <m/>
    <n v="48.2"/>
  </r>
  <r>
    <s v="USR-100683"/>
    <d v="2025-05-20T00:00:00"/>
    <x v="0"/>
    <s v="East"/>
    <s v="Mobile"/>
    <s v="Organic"/>
    <s v="Basic"/>
    <n v="0"/>
    <n v="0"/>
    <n v="0"/>
    <x v="0"/>
    <n v="0"/>
    <n v="0"/>
    <n v="0"/>
    <n v="0"/>
    <m/>
    <n v="42.1"/>
  </r>
  <r>
    <s v="USR-100684"/>
    <d v="2025-02-24T00:00:00"/>
    <x v="0"/>
    <s v="South"/>
    <s v="Desktop"/>
    <s v="Referral"/>
    <s v="Free"/>
    <n v="0"/>
    <n v="0"/>
    <n v="0"/>
    <x v="0"/>
    <n v="0"/>
    <n v="0"/>
    <n v="0"/>
    <n v="0"/>
    <m/>
    <n v="27.6"/>
  </r>
  <r>
    <s v="USR-100685"/>
    <d v="2025-02-13T00:00:00"/>
    <x v="0"/>
    <s v="West"/>
    <s v="Mobile"/>
    <s v="Organic"/>
    <s v="Premium"/>
    <n v="1"/>
    <n v="0"/>
    <n v="0"/>
    <x v="0"/>
    <n v="0"/>
    <n v="1"/>
    <n v="1"/>
    <n v="0"/>
    <m/>
    <n v="68.5"/>
  </r>
  <r>
    <s v="USR-100686"/>
    <d v="2025-02-06T00:00:00"/>
    <x v="0"/>
    <s v="South"/>
    <s v="Desktop"/>
    <s v="Organic"/>
    <s v="Free"/>
    <n v="1"/>
    <n v="1"/>
    <n v="1"/>
    <x v="0"/>
    <n v="0"/>
    <n v="0"/>
    <n v="0"/>
    <n v="0"/>
    <m/>
    <n v="59.2"/>
  </r>
  <r>
    <s v="USR-100687"/>
    <d v="2025-03-02T00:00:00"/>
    <x v="0"/>
    <s v="North"/>
    <s v="Mobile"/>
    <s v="Social"/>
    <s v="Basic"/>
    <n v="1"/>
    <n v="0"/>
    <n v="0"/>
    <x v="0"/>
    <n v="0"/>
    <n v="0"/>
    <n v="0"/>
    <n v="0"/>
    <m/>
    <n v="63.3"/>
  </r>
  <r>
    <s v="USR-100688"/>
    <d v="2025-04-28T00:00:00"/>
    <x v="0"/>
    <s v="East"/>
    <s v="Desktop"/>
    <s v="Paid Search"/>
    <s v="Free"/>
    <n v="0"/>
    <n v="0"/>
    <n v="0"/>
    <x v="0"/>
    <n v="0"/>
    <n v="0"/>
    <n v="0"/>
    <n v="0"/>
    <m/>
    <n v="55"/>
  </r>
  <r>
    <s v="USR-100689"/>
    <d v="2025-05-27T00:00:00"/>
    <x v="0"/>
    <s v="North"/>
    <s v="Desktop"/>
    <m/>
    <s v="Premium"/>
    <n v="1"/>
    <n v="0"/>
    <n v="0"/>
    <x v="0"/>
    <n v="0"/>
    <n v="0"/>
    <n v="0"/>
    <n v="0"/>
    <m/>
    <n v="64.8"/>
  </r>
  <r>
    <s v="USR-100690"/>
    <d v="2025-04-07T00:00:00"/>
    <x v="0"/>
    <s v="South"/>
    <s v="Desktop"/>
    <s v="Organic"/>
    <s v="Basic"/>
    <n v="0"/>
    <n v="0"/>
    <n v="0"/>
    <x v="0"/>
    <n v="0"/>
    <n v="2"/>
    <n v="1"/>
    <n v="0"/>
    <m/>
    <n v="41.8"/>
  </r>
  <r>
    <s v="USR-100691"/>
    <d v="2025-04-14T00:00:00"/>
    <x v="1"/>
    <s v="East"/>
    <s v="Desktop"/>
    <s v="Social"/>
    <s v="Basic"/>
    <n v="1"/>
    <n v="0"/>
    <n v="0"/>
    <x v="0"/>
    <n v="0"/>
    <n v="0"/>
    <n v="0"/>
    <n v="0"/>
    <m/>
    <n v="73.2"/>
  </r>
  <r>
    <s v="USR-100692"/>
    <d v="2025-05-09T00:00:00"/>
    <x v="1"/>
    <s v="East"/>
    <s v="Desktop"/>
    <s v="Organic"/>
    <s v="Basic"/>
    <n v="1"/>
    <n v="1"/>
    <n v="1"/>
    <x v="0"/>
    <n v="0"/>
    <n v="3"/>
    <n v="1"/>
    <n v="0"/>
    <m/>
    <n v="55.7"/>
  </r>
  <r>
    <s v="USR-100693"/>
    <d v="2025-03-21T00:00:00"/>
    <x v="1"/>
    <s v="North"/>
    <s v="Mobile"/>
    <s v="Organic"/>
    <s v="Free"/>
    <n v="1"/>
    <n v="1"/>
    <n v="1"/>
    <x v="0"/>
    <n v="0"/>
    <n v="0"/>
    <n v="0"/>
    <n v="0"/>
    <m/>
    <n v="82.8"/>
  </r>
  <r>
    <s v="USR-100694"/>
    <d v="2025-03-27T00:00:00"/>
    <x v="1"/>
    <s v="North"/>
    <s v="Desktop"/>
    <s v="Social"/>
    <s v="Free"/>
    <n v="1"/>
    <n v="0"/>
    <n v="0"/>
    <x v="0"/>
    <n v="0"/>
    <n v="0"/>
    <n v="0"/>
    <n v="0"/>
    <m/>
    <m/>
  </r>
  <r>
    <s v="USR-100695"/>
    <d v="2025-01-21T00:00:00"/>
    <x v="1"/>
    <s v="South"/>
    <s v="Mobile"/>
    <s v="Paid Search"/>
    <s v="Free"/>
    <n v="0"/>
    <n v="0"/>
    <n v="0"/>
    <x v="0"/>
    <n v="0"/>
    <n v="0"/>
    <n v="0"/>
    <n v="0"/>
    <m/>
    <n v="34.4"/>
  </r>
  <r>
    <s v="USR-100696"/>
    <d v="2025-03-19T00:00:00"/>
    <x v="1"/>
    <s v="East"/>
    <s v="Desktop"/>
    <s v="Email"/>
    <s v="Free"/>
    <n v="1"/>
    <n v="0"/>
    <n v="0"/>
    <x v="0"/>
    <n v="0"/>
    <n v="0"/>
    <n v="0"/>
    <n v="0"/>
    <m/>
    <n v="45.2"/>
  </r>
  <r>
    <s v="USR-100697"/>
    <d v="2025-05-27T00:00:00"/>
    <x v="1"/>
    <s v="North"/>
    <s v="Mobile"/>
    <s v="Organic"/>
    <s v="Basic"/>
    <n v="1"/>
    <n v="0"/>
    <n v="0"/>
    <x v="0"/>
    <n v="0"/>
    <n v="0"/>
    <n v="0"/>
    <n v="0"/>
    <m/>
    <n v="71.599999999999994"/>
  </r>
  <r>
    <s v="USR-100698"/>
    <d v="2025-01-01T00:00:00"/>
    <x v="1"/>
    <s v="North"/>
    <s v="Mobile"/>
    <s v="Social"/>
    <s v="Free"/>
    <n v="1"/>
    <n v="1"/>
    <n v="1"/>
    <x v="0"/>
    <n v="0"/>
    <n v="0"/>
    <n v="0"/>
    <n v="0"/>
    <m/>
    <n v="69.099999999999994"/>
  </r>
  <r>
    <s v="USR-100699"/>
    <d v="2025-03-29T00:00:00"/>
    <x v="1"/>
    <s v="West"/>
    <s v="Desktop"/>
    <s v="Paid Search"/>
    <s v="Premium"/>
    <n v="1"/>
    <n v="0"/>
    <n v="0"/>
    <x v="0"/>
    <n v="0"/>
    <n v="1"/>
    <n v="1"/>
    <n v="0"/>
    <m/>
    <n v="37.700000000000003"/>
  </r>
  <r>
    <s v="USR-100700"/>
    <d v="2025-03-17T00:00:00"/>
    <x v="1"/>
    <s v="West"/>
    <s v="Desktop"/>
    <s v="Organic"/>
    <s v="Basic"/>
    <n v="1"/>
    <n v="0"/>
    <n v="0"/>
    <x v="0"/>
    <n v="0"/>
    <n v="1"/>
    <n v="1"/>
    <n v="0"/>
    <m/>
    <n v="60.8"/>
  </r>
  <r>
    <s v="USR-100701"/>
    <d v="2025-05-05T00:00:00"/>
    <x v="1"/>
    <s v="North"/>
    <s v="Mobile"/>
    <s v="Organic"/>
    <s v="Free"/>
    <n v="1"/>
    <n v="1"/>
    <n v="1"/>
    <x v="1"/>
    <n v="444.13"/>
    <n v="0"/>
    <n v="0"/>
    <n v="0"/>
    <n v="10"/>
    <n v="80.7"/>
  </r>
  <r>
    <s v="USR-100702"/>
    <d v="2025-05-04T00:00:00"/>
    <x v="1"/>
    <s v="South"/>
    <s v="Mobile"/>
    <s v="Social"/>
    <s v="Free"/>
    <n v="1"/>
    <n v="0"/>
    <n v="0"/>
    <x v="0"/>
    <n v="0"/>
    <n v="0"/>
    <n v="0"/>
    <n v="0"/>
    <m/>
    <n v="69.2"/>
  </r>
  <r>
    <s v="USR-100703"/>
    <d v="2025-03-25T00:00:00"/>
    <x v="1"/>
    <s v="North"/>
    <s v="Mobile"/>
    <s v="Social"/>
    <s v="Premium"/>
    <n v="0"/>
    <n v="0"/>
    <n v="0"/>
    <x v="0"/>
    <n v="0"/>
    <n v="3"/>
    <n v="1"/>
    <n v="0"/>
    <m/>
    <n v="55"/>
  </r>
  <r>
    <s v="USR-100704"/>
    <d v="2025-04-17T00:00:00"/>
    <x v="1"/>
    <s v="West"/>
    <s v="Mobile"/>
    <s v="Email"/>
    <s v="Free"/>
    <n v="0"/>
    <n v="0"/>
    <n v="0"/>
    <x v="0"/>
    <n v="0"/>
    <n v="1"/>
    <n v="1"/>
    <n v="0"/>
    <m/>
    <n v="73.599999999999994"/>
  </r>
  <r>
    <s v="USR-100705"/>
    <d v="2025-05-23T00:00:00"/>
    <x v="1"/>
    <s v="South"/>
    <s v="Mobile"/>
    <s v="Referral"/>
    <s v="Basic"/>
    <n v="1"/>
    <n v="1"/>
    <n v="1"/>
    <x v="0"/>
    <n v="0"/>
    <n v="1"/>
    <n v="1"/>
    <n v="0"/>
    <m/>
    <n v="47.3"/>
  </r>
  <r>
    <s v="USR-100706"/>
    <d v="2025-01-13T00:00:00"/>
    <x v="1"/>
    <s v="North"/>
    <s v="Mobile"/>
    <s v="Organic"/>
    <s v="Basic"/>
    <n v="0"/>
    <n v="0"/>
    <n v="0"/>
    <x v="0"/>
    <n v="0"/>
    <n v="0"/>
    <n v="0"/>
    <n v="0"/>
    <m/>
    <n v="43.6"/>
  </r>
  <r>
    <s v="USR-100707"/>
    <d v="2025-01-29T00:00:00"/>
    <x v="1"/>
    <s v="North"/>
    <s v="Desktop"/>
    <s v="Organic"/>
    <s v="Basic"/>
    <n v="1"/>
    <n v="0"/>
    <n v="0"/>
    <x v="0"/>
    <n v="0"/>
    <n v="0"/>
    <n v="0"/>
    <n v="0"/>
    <m/>
    <m/>
  </r>
  <r>
    <s v="USR-100708"/>
    <d v="2025-05-11T00:00:00"/>
    <x v="1"/>
    <s v="South"/>
    <s v="Mobile"/>
    <s v="Email"/>
    <s v="Free"/>
    <n v="0"/>
    <n v="0"/>
    <n v="0"/>
    <x v="0"/>
    <n v="0"/>
    <n v="0"/>
    <n v="0"/>
    <n v="0"/>
    <m/>
    <n v="55.2"/>
  </r>
  <r>
    <s v="USR-100709"/>
    <d v="2025-04-22T00:00:00"/>
    <x v="1"/>
    <s v="South"/>
    <s v="Mobile"/>
    <s v="Organic"/>
    <s v="Basic"/>
    <n v="1"/>
    <n v="0"/>
    <n v="0"/>
    <x v="0"/>
    <n v="0"/>
    <n v="0"/>
    <n v="0"/>
    <n v="0"/>
    <m/>
    <n v="49.4"/>
  </r>
  <r>
    <s v="USR-100710"/>
    <d v="2025-03-03T00:00:00"/>
    <x v="1"/>
    <s v="South"/>
    <s v="Mobile"/>
    <s v="Social"/>
    <s v="Free"/>
    <n v="1"/>
    <n v="1"/>
    <n v="1"/>
    <x v="0"/>
    <n v="0"/>
    <n v="1"/>
    <n v="1"/>
    <n v="0"/>
    <m/>
    <n v="60.1"/>
  </r>
  <r>
    <s v="USR-100711"/>
    <d v="2025-03-18T00:00:00"/>
    <x v="1"/>
    <s v="North"/>
    <s v="Mobile"/>
    <s v="Referral"/>
    <s v="Free"/>
    <n v="1"/>
    <n v="0"/>
    <n v="0"/>
    <x v="0"/>
    <n v="0"/>
    <n v="0"/>
    <n v="0"/>
    <n v="0"/>
    <m/>
    <n v="55.9"/>
  </r>
  <r>
    <s v="USR-100712"/>
    <d v="2025-04-05T00:00:00"/>
    <x v="1"/>
    <s v="North"/>
    <s v="Mobile"/>
    <s v="Organic"/>
    <s v="Basic"/>
    <n v="1"/>
    <n v="0"/>
    <n v="0"/>
    <x v="0"/>
    <n v="0"/>
    <n v="0"/>
    <n v="0"/>
    <n v="0"/>
    <m/>
    <n v="51.5"/>
  </r>
  <r>
    <s v="USR-100713"/>
    <d v="2025-04-16T00:00:00"/>
    <x v="1"/>
    <s v="East"/>
    <s v="Mobile"/>
    <s v="Organic"/>
    <s v="Free"/>
    <n v="1"/>
    <n v="1"/>
    <n v="1"/>
    <x v="1"/>
    <n v="516.66999999999996"/>
    <n v="0"/>
    <n v="0"/>
    <n v="0"/>
    <n v="11"/>
    <n v="57.9"/>
  </r>
  <r>
    <s v="USR-100714"/>
    <d v="2025-04-20T00:00:00"/>
    <x v="1"/>
    <s v="South"/>
    <s v="Mobile"/>
    <s v="Referral"/>
    <s v="Free"/>
    <n v="1"/>
    <n v="1"/>
    <n v="1"/>
    <x v="1"/>
    <n v="277.18"/>
    <n v="2"/>
    <n v="1"/>
    <n v="0"/>
    <n v="8"/>
    <n v="59.2"/>
  </r>
  <r>
    <s v="USR-100715"/>
    <d v="2025-02-15T00:00:00"/>
    <x v="1"/>
    <s v="South"/>
    <s v="Mobile"/>
    <s v="Organic"/>
    <s v="Free"/>
    <n v="0"/>
    <n v="0"/>
    <n v="0"/>
    <x v="0"/>
    <n v="0"/>
    <n v="0"/>
    <n v="0"/>
    <n v="0"/>
    <m/>
    <n v="64.2"/>
  </r>
  <r>
    <s v="USR-100716"/>
    <d v="2025-01-21T00:00:00"/>
    <x v="1"/>
    <s v="South"/>
    <s v="Mobile"/>
    <s v="Organic"/>
    <s v="Free"/>
    <n v="1"/>
    <n v="0"/>
    <n v="0"/>
    <x v="0"/>
    <n v="0"/>
    <n v="0"/>
    <n v="0"/>
    <n v="0"/>
    <m/>
    <n v="68.8"/>
  </r>
  <r>
    <s v="USR-100717"/>
    <d v="2025-05-23T00:00:00"/>
    <x v="1"/>
    <s v="North"/>
    <s v="Mobile"/>
    <s v="Paid Search"/>
    <s v="Premium"/>
    <n v="1"/>
    <n v="1"/>
    <n v="1"/>
    <x v="0"/>
    <n v="0"/>
    <n v="0"/>
    <n v="0"/>
    <n v="0"/>
    <m/>
    <n v="77.900000000000006"/>
  </r>
  <r>
    <s v="USR-100718"/>
    <d v="2025-01-22T00:00:00"/>
    <x v="1"/>
    <s v="West"/>
    <s v="Mobile"/>
    <s v="Paid Search"/>
    <s v="Basic"/>
    <n v="0"/>
    <n v="0"/>
    <n v="0"/>
    <x v="0"/>
    <n v="0"/>
    <n v="0"/>
    <n v="0"/>
    <n v="0"/>
    <m/>
    <n v="92.1"/>
  </r>
  <r>
    <s v="USR-100719"/>
    <d v="2025-04-24T00:00:00"/>
    <x v="1"/>
    <s v="West"/>
    <s v="Mobile"/>
    <s v="Paid Search"/>
    <s v="Premium"/>
    <n v="0"/>
    <n v="0"/>
    <n v="0"/>
    <x v="0"/>
    <n v="0"/>
    <n v="0"/>
    <n v="0"/>
    <n v="0"/>
    <m/>
    <n v="63.6"/>
  </r>
  <r>
    <s v="USR-100720"/>
    <d v="2025-01-17T00:00:00"/>
    <x v="1"/>
    <s v="West"/>
    <s v="Desktop"/>
    <s v="Email"/>
    <s v="Free"/>
    <n v="0"/>
    <n v="0"/>
    <n v="0"/>
    <x v="0"/>
    <n v="0"/>
    <n v="2"/>
    <n v="1"/>
    <n v="0"/>
    <m/>
    <n v="61.6"/>
  </r>
  <r>
    <s v="USR-100721"/>
    <d v="2025-01-22T00:00:00"/>
    <x v="1"/>
    <s v="East"/>
    <s v="Mobile"/>
    <s v="Referral"/>
    <s v="Basic"/>
    <n v="1"/>
    <n v="1"/>
    <n v="0"/>
    <x v="0"/>
    <n v="0"/>
    <n v="0"/>
    <n v="0"/>
    <n v="0"/>
    <m/>
    <n v="82.3"/>
  </r>
  <r>
    <s v="USR-100722"/>
    <d v="2025-05-04T00:00:00"/>
    <x v="1"/>
    <s v="East"/>
    <s v="Desktop"/>
    <s v="Paid Search"/>
    <s v="Free"/>
    <n v="1"/>
    <n v="0"/>
    <n v="0"/>
    <x v="0"/>
    <n v="0"/>
    <n v="0"/>
    <n v="0"/>
    <n v="0"/>
    <m/>
    <n v="79.3"/>
  </r>
  <r>
    <s v="USR-100723"/>
    <d v="2025-03-13T00:00:00"/>
    <x v="1"/>
    <s v="South"/>
    <s v="Mobile"/>
    <m/>
    <s v="Free"/>
    <n v="0"/>
    <n v="0"/>
    <n v="0"/>
    <x v="0"/>
    <n v="0"/>
    <n v="0"/>
    <n v="0"/>
    <n v="0"/>
    <m/>
    <n v="57.7"/>
  </r>
  <r>
    <s v="USR-100724"/>
    <d v="2025-01-02T00:00:00"/>
    <x v="1"/>
    <s v="North"/>
    <s v="Mobile"/>
    <s v="Organic"/>
    <s v="Basic"/>
    <n v="1"/>
    <n v="0"/>
    <n v="0"/>
    <x v="0"/>
    <n v="0"/>
    <n v="0"/>
    <n v="0"/>
    <n v="0"/>
    <m/>
    <n v="63.1"/>
  </r>
  <r>
    <s v="USR-100725"/>
    <d v="2025-01-13T00:00:00"/>
    <x v="1"/>
    <s v="East"/>
    <s v="Mobile"/>
    <s v="Paid Search"/>
    <s v="Basic"/>
    <n v="0"/>
    <n v="0"/>
    <n v="0"/>
    <x v="0"/>
    <n v="0"/>
    <n v="0"/>
    <n v="0"/>
    <n v="0"/>
    <m/>
    <n v="72.3"/>
  </r>
  <r>
    <s v="USR-100726"/>
    <d v="2025-02-09T00:00:00"/>
    <x v="1"/>
    <s v="East"/>
    <s v="Mobile"/>
    <s v="Social"/>
    <s v="Free"/>
    <n v="1"/>
    <n v="1"/>
    <n v="1"/>
    <x v="0"/>
    <n v="0"/>
    <n v="0"/>
    <n v="0"/>
    <n v="0"/>
    <m/>
    <n v="78"/>
  </r>
  <r>
    <s v="USR-100727"/>
    <d v="2025-04-09T00:00:00"/>
    <x v="1"/>
    <s v="East"/>
    <s v="Desktop"/>
    <s v="Social"/>
    <s v="Free"/>
    <n v="1"/>
    <n v="1"/>
    <n v="0"/>
    <x v="0"/>
    <n v="0"/>
    <n v="2"/>
    <n v="1"/>
    <n v="0"/>
    <m/>
    <n v="59.1"/>
  </r>
  <r>
    <s v="USR-100728"/>
    <d v="2025-01-02T00:00:00"/>
    <x v="1"/>
    <s v="South"/>
    <s v="Mobile"/>
    <s v="Paid Search"/>
    <s v="Free"/>
    <n v="1"/>
    <n v="1"/>
    <n v="1"/>
    <x v="1"/>
    <n v="604.09"/>
    <n v="0"/>
    <n v="0"/>
    <n v="0"/>
    <n v="7"/>
    <n v="47.1"/>
  </r>
  <r>
    <s v="USR-100729"/>
    <d v="2025-02-04T00:00:00"/>
    <x v="1"/>
    <s v="South"/>
    <s v="Mobile"/>
    <m/>
    <s v="Premium"/>
    <n v="1"/>
    <n v="0"/>
    <n v="0"/>
    <x v="0"/>
    <n v="0"/>
    <n v="0"/>
    <n v="0"/>
    <n v="0"/>
    <m/>
    <n v="64.900000000000006"/>
  </r>
  <r>
    <s v="USR-100730"/>
    <d v="2025-02-19T00:00:00"/>
    <x v="1"/>
    <s v="South"/>
    <s v="Tablet"/>
    <s v="Paid Search"/>
    <s v="Free"/>
    <n v="0"/>
    <n v="0"/>
    <n v="0"/>
    <x v="0"/>
    <n v="0"/>
    <n v="0"/>
    <n v="0"/>
    <n v="0"/>
    <m/>
    <n v="67.3"/>
  </r>
  <r>
    <s v="USR-100731"/>
    <d v="2025-04-01T00:00:00"/>
    <x v="1"/>
    <s v="East"/>
    <s v="Mobile"/>
    <s v="Paid Search"/>
    <s v="Basic"/>
    <n v="1"/>
    <n v="0"/>
    <n v="0"/>
    <x v="0"/>
    <n v="0"/>
    <n v="2"/>
    <n v="1"/>
    <n v="0"/>
    <m/>
    <n v="52.9"/>
  </r>
  <r>
    <s v="USR-100732"/>
    <d v="2025-01-29T00:00:00"/>
    <x v="1"/>
    <s v="North"/>
    <s v="Mobile"/>
    <s v="Referral"/>
    <s v="Free"/>
    <n v="1"/>
    <n v="1"/>
    <n v="1"/>
    <x v="1"/>
    <n v="442.37"/>
    <n v="1"/>
    <n v="1"/>
    <n v="0"/>
    <n v="4"/>
    <n v="69.900000000000006"/>
  </r>
  <r>
    <s v="USR-100733"/>
    <d v="2025-05-18T00:00:00"/>
    <x v="1"/>
    <s v="North"/>
    <s v="Mobile"/>
    <s v="Referral"/>
    <s v="Basic"/>
    <n v="1"/>
    <n v="1"/>
    <n v="1"/>
    <x v="0"/>
    <n v="0"/>
    <n v="0"/>
    <n v="0"/>
    <n v="0"/>
    <m/>
    <n v="78.900000000000006"/>
  </r>
  <r>
    <s v="USR-100734"/>
    <d v="2025-04-15T00:00:00"/>
    <x v="1"/>
    <s v="East"/>
    <s v="Desktop"/>
    <s v="Social"/>
    <s v="Premium"/>
    <n v="1"/>
    <n v="1"/>
    <n v="0"/>
    <x v="0"/>
    <n v="0"/>
    <n v="0"/>
    <n v="0"/>
    <n v="0"/>
    <m/>
    <n v="83.3"/>
  </r>
  <r>
    <s v="USR-100735"/>
    <d v="2025-03-28T00:00:00"/>
    <x v="1"/>
    <s v="East"/>
    <s v="Desktop"/>
    <s v="Email"/>
    <s v="Free"/>
    <n v="1"/>
    <n v="0"/>
    <n v="0"/>
    <x v="0"/>
    <n v="0"/>
    <n v="1"/>
    <n v="1"/>
    <n v="0"/>
    <m/>
    <n v="24.5"/>
  </r>
  <r>
    <s v="USR-100736"/>
    <d v="2025-04-01T00:00:00"/>
    <x v="1"/>
    <s v="West"/>
    <s v="Mobile"/>
    <s v="Paid Search"/>
    <s v="Basic"/>
    <n v="1"/>
    <n v="1"/>
    <n v="0"/>
    <x v="0"/>
    <n v="0"/>
    <n v="1"/>
    <n v="1"/>
    <n v="0"/>
    <m/>
    <n v="56.9"/>
  </r>
  <r>
    <s v="USR-100737"/>
    <d v="2025-02-11T00:00:00"/>
    <x v="1"/>
    <s v="West"/>
    <s v="Mobile"/>
    <s v="Social"/>
    <s v="Basic"/>
    <n v="1"/>
    <n v="0"/>
    <n v="0"/>
    <x v="0"/>
    <n v="0"/>
    <n v="0"/>
    <n v="0"/>
    <n v="0"/>
    <m/>
    <n v="69.900000000000006"/>
  </r>
  <r>
    <s v="USR-100738"/>
    <d v="2025-03-04T00:00:00"/>
    <x v="1"/>
    <s v="South"/>
    <s v="Mobile"/>
    <s v="Organic"/>
    <s v="Free"/>
    <n v="1"/>
    <n v="1"/>
    <n v="1"/>
    <x v="0"/>
    <n v="0"/>
    <n v="0"/>
    <n v="0"/>
    <n v="0"/>
    <m/>
    <n v="81.5"/>
  </r>
  <r>
    <s v="USR-100739"/>
    <d v="2025-01-21T00:00:00"/>
    <x v="1"/>
    <s v="North"/>
    <s v="Tablet"/>
    <s v="Social"/>
    <s v="Basic"/>
    <n v="0"/>
    <n v="0"/>
    <n v="0"/>
    <x v="0"/>
    <n v="0"/>
    <n v="2"/>
    <n v="1"/>
    <n v="0"/>
    <m/>
    <n v="37.9"/>
  </r>
  <r>
    <s v="USR-100740"/>
    <d v="2025-02-14T00:00:00"/>
    <x v="1"/>
    <s v="North"/>
    <s v="Mobile"/>
    <s v="Referral"/>
    <s v="Free"/>
    <n v="0"/>
    <n v="0"/>
    <n v="0"/>
    <x v="0"/>
    <n v="0"/>
    <n v="1"/>
    <n v="1"/>
    <n v="0"/>
    <m/>
    <n v="61.7"/>
  </r>
  <r>
    <s v="USR-100741"/>
    <d v="2025-03-30T00:00:00"/>
    <x v="1"/>
    <s v="North"/>
    <s v="Desktop"/>
    <m/>
    <s v="Premium"/>
    <n v="1"/>
    <n v="0"/>
    <n v="0"/>
    <x v="0"/>
    <n v="0"/>
    <n v="2"/>
    <n v="1"/>
    <n v="0"/>
    <m/>
    <n v="53.2"/>
  </r>
  <r>
    <s v="USR-100742"/>
    <d v="2025-01-08T00:00:00"/>
    <x v="1"/>
    <s v="North"/>
    <s v="Mobile"/>
    <s v="Referral"/>
    <s v="Free"/>
    <n v="0"/>
    <n v="0"/>
    <n v="0"/>
    <x v="0"/>
    <n v="0"/>
    <n v="0"/>
    <n v="0"/>
    <n v="0"/>
    <m/>
    <n v="61.9"/>
  </r>
  <r>
    <s v="USR-100743"/>
    <d v="2025-02-07T00:00:00"/>
    <x v="1"/>
    <s v="North"/>
    <s v="Mobile"/>
    <s v="Social"/>
    <s v="Free"/>
    <n v="1"/>
    <n v="1"/>
    <n v="1"/>
    <x v="0"/>
    <n v="0"/>
    <n v="0"/>
    <n v="0"/>
    <n v="0"/>
    <m/>
    <n v="68.900000000000006"/>
  </r>
  <r>
    <s v="USR-100744"/>
    <d v="2025-02-01T00:00:00"/>
    <x v="1"/>
    <s v="North"/>
    <s v="Tablet"/>
    <s v="Paid Search"/>
    <s v="Basic"/>
    <n v="0"/>
    <n v="0"/>
    <n v="0"/>
    <x v="0"/>
    <n v="0"/>
    <n v="0"/>
    <n v="0"/>
    <n v="0"/>
    <m/>
    <n v="66.3"/>
  </r>
  <r>
    <s v="USR-100745"/>
    <d v="2025-01-04T00:00:00"/>
    <x v="1"/>
    <s v="East"/>
    <s v="Mobile"/>
    <s v="Email"/>
    <s v="Free"/>
    <n v="1"/>
    <n v="1"/>
    <n v="1"/>
    <x v="0"/>
    <n v="0"/>
    <n v="0"/>
    <n v="0"/>
    <n v="0"/>
    <m/>
    <n v="54.6"/>
  </r>
  <r>
    <s v="USR-100746"/>
    <d v="2025-05-16T00:00:00"/>
    <x v="1"/>
    <s v="South"/>
    <s v="Desktop"/>
    <s v="Referral"/>
    <s v="Free"/>
    <n v="0"/>
    <n v="0"/>
    <n v="0"/>
    <x v="0"/>
    <n v="0"/>
    <n v="0"/>
    <n v="0"/>
    <n v="0"/>
    <m/>
    <n v="53.8"/>
  </r>
  <r>
    <s v="USR-100747"/>
    <d v="2025-02-28T00:00:00"/>
    <x v="1"/>
    <s v="West"/>
    <s v="Mobile"/>
    <s v="Referral"/>
    <s v="Free"/>
    <n v="1"/>
    <n v="0"/>
    <n v="0"/>
    <x v="0"/>
    <n v="0"/>
    <n v="0"/>
    <n v="0"/>
    <n v="0"/>
    <m/>
    <n v="59.5"/>
  </r>
  <r>
    <s v="USR-100748"/>
    <d v="2025-04-12T00:00:00"/>
    <x v="1"/>
    <s v="North"/>
    <s v="Mobile"/>
    <s v="Referral"/>
    <s v="Free"/>
    <n v="1"/>
    <n v="0"/>
    <n v="0"/>
    <x v="0"/>
    <n v="0"/>
    <n v="0"/>
    <n v="0"/>
    <n v="0"/>
    <m/>
    <n v="52.6"/>
  </r>
  <r>
    <s v="USR-100749"/>
    <d v="2025-03-23T00:00:00"/>
    <x v="1"/>
    <s v="South"/>
    <s v="Desktop"/>
    <s v="Organic"/>
    <s v="Free"/>
    <n v="0"/>
    <n v="0"/>
    <n v="0"/>
    <x v="0"/>
    <n v="0"/>
    <n v="0"/>
    <n v="0"/>
    <n v="0"/>
    <m/>
    <n v="49"/>
  </r>
  <r>
    <s v="USR-100750"/>
    <d v="2025-05-29T00:00:00"/>
    <x v="1"/>
    <s v="North"/>
    <s v="Tablet"/>
    <s v="Organic"/>
    <s v="Free"/>
    <n v="1"/>
    <n v="0"/>
    <n v="0"/>
    <x v="0"/>
    <n v="0"/>
    <n v="0"/>
    <n v="0"/>
    <n v="0"/>
    <m/>
    <n v="59.3"/>
  </r>
  <r>
    <s v="USR-100751"/>
    <d v="2025-05-21T00:00:00"/>
    <x v="1"/>
    <s v="South"/>
    <s v="Desktop"/>
    <s v="Organic"/>
    <s v="Basic"/>
    <n v="0"/>
    <n v="0"/>
    <n v="0"/>
    <x v="0"/>
    <n v="0"/>
    <n v="0"/>
    <n v="0"/>
    <n v="0"/>
    <m/>
    <n v="67.2"/>
  </r>
  <r>
    <s v="USR-100752"/>
    <d v="2025-01-05T00:00:00"/>
    <x v="1"/>
    <s v="South"/>
    <s v="Mobile"/>
    <s v="Referral"/>
    <s v="Premium"/>
    <n v="0"/>
    <n v="0"/>
    <n v="0"/>
    <x v="0"/>
    <n v="0"/>
    <n v="0"/>
    <n v="0"/>
    <n v="0"/>
    <m/>
    <n v="73.5"/>
  </r>
  <r>
    <s v="USR-100753"/>
    <d v="2025-03-19T00:00:00"/>
    <x v="1"/>
    <s v="East"/>
    <s v="Tablet"/>
    <s v="Organic"/>
    <s v="Free"/>
    <n v="1"/>
    <n v="0"/>
    <n v="0"/>
    <x v="0"/>
    <n v="0"/>
    <n v="0"/>
    <n v="0"/>
    <n v="0"/>
    <m/>
    <n v="61.2"/>
  </r>
  <r>
    <s v="USR-100754"/>
    <d v="2025-04-24T00:00:00"/>
    <x v="1"/>
    <s v="East"/>
    <s v="Mobile"/>
    <s v="Organic"/>
    <s v="Free"/>
    <n v="1"/>
    <n v="0"/>
    <n v="0"/>
    <x v="0"/>
    <n v="0"/>
    <n v="1"/>
    <n v="1"/>
    <n v="0"/>
    <m/>
    <n v="56.4"/>
  </r>
  <r>
    <s v="USR-100755"/>
    <d v="2025-03-10T00:00:00"/>
    <x v="1"/>
    <s v="North"/>
    <s v="Tablet"/>
    <s v="Organic"/>
    <s v="Free"/>
    <n v="0"/>
    <n v="0"/>
    <n v="0"/>
    <x v="0"/>
    <n v="0"/>
    <n v="3"/>
    <n v="1"/>
    <n v="0"/>
    <m/>
    <n v="72.599999999999994"/>
  </r>
  <r>
    <s v="USR-100756"/>
    <d v="2025-02-22T00:00:00"/>
    <x v="1"/>
    <s v="South"/>
    <s v="Tablet"/>
    <s v="Referral"/>
    <s v="Basic"/>
    <n v="1"/>
    <n v="0"/>
    <n v="0"/>
    <x v="0"/>
    <n v="0"/>
    <n v="0"/>
    <n v="0"/>
    <n v="0"/>
    <m/>
    <n v="61.7"/>
  </r>
  <r>
    <s v="USR-100757"/>
    <d v="2025-05-17T00:00:00"/>
    <x v="1"/>
    <s v="East"/>
    <s v="Mobile"/>
    <s v="Social"/>
    <s v="Free"/>
    <n v="0"/>
    <n v="0"/>
    <n v="0"/>
    <x v="0"/>
    <n v="0"/>
    <n v="1"/>
    <n v="1"/>
    <n v="0"/>
    <m/>
    <n v="66.900000000000006"/>
  </r>
  <r>
    <s v="USR-100758"/>
    <d v="2025-05-09T00:00:00"/>
    <x v="1"/>
    <s v="East"/>
    <s v="Tablet"/>
    <s v="Referral"/>
    <s v="Premium"/>
    <n v="1"/>
    <n v="1"/>
    <n v="1"/>
    <x v="1"/>
    <n v="1506.24"/>
    <n v="1"/>
    <n v="1"/>
    <n v="0"/>
    <n v="7"/>
    <n v="64.900000000000006"/>
  </r>
  <r>
    <s v="USR-100759"/>
    <d v="2025-04-26T00:00:00"/>
    <x v="1"/>
    <s v="East"/>
    <s v="Tablet"/>
    <s v="Organic"/>
    <s v="Premium"/>
    <n v="1"/>
    <n v="0"/>
    <n v="0"/>
    <x v="0"/>
    <n v="0"/>
    <n v="0"/>
    <n v="0"/>
    <n v="0"/>
    <m/>
    <n v="57.5"/>
  </r>
  <r>
    <s v="USR-100760"/>
    <d v="2025-03-15T00:00:00"/>
    <x v="1"/>
    <s v="West"/>
    <s v="Desktop"/>
    <s v="Social"/>
    <s v="Free"/>
    <n v="1"/>
    <n v="1"/>
    <n v="1"/>
    <x v="0"/>
    <n v="0"/>
    <n v="0"/>
    <n v="0"/>
    <n v="0"/>
    <m/>
    <n v="76.3"/>
  </r>
  <r>
    <s v="USR-100761"/>
    <d v="2025-04-03T00:00:00"/>
    <x v="1"/>
    <s v="North"/>
    <s v="Mobile"/>
    <s v="Paid Search"/>
    <s v="Free"/>
    <n v="0"/>
    <n v="0"/>
    <n v="0"/>
    <x v="0"/>
    <n v="0"/>
    <n v="0"/>
    <n v="0"/>
    <n v="0"/>
    <m/>
    <n v="47.5"/>
  </r>
  <r>
    <s v="USR-100762"/>
    <d v="2025-03-26T00:00:00"/>
    <x v="1"/>
    <s v="South"/>
    <s v="Mobile"/>
    <s v="Paid Search"/>
    <s v="Free"/>
    <n v="0"/>
    <n v="0"/>
    <n v="0"/>
    <x v="0"/>
    <n v="0"/>
    <n v="0"/>
    <n v="0"/>
    <n v="0"/>
    <m/>
    <m/>
  </r>
  <r>
    <s v="USR-100763"/>
    <d v="2025-02-05T00:00:00"/>
    <x v="1"/>
    <s v="West"/>
    <s v="Desktop"/>
    <s v="Organic"/>
    <s v="Basic"/>
    <n v="1"/>
    <n v="1"/>
    <n v="0"/>
    <x v="0"/>
    <n v="0"/>
    <n v="2"/>
    <n v="1"/>
    <n v="0"/>
    <m/>
    <n v="71.599999999999994"/>
  </r>
  <r>
    <s v="USR-100764"/>
    <d v="2025-05-08T00:00:00"/>
    <x v="1"/>
    <s v="South"/>
    <s v="Mobile"/>
    <s v="Social"/>
    <s v="Basic"/>
    <n v="1"/>
    <n v="1"/>
    <n v="0"/>
    <x v="0"/>
    <n v="0"/>
    <n v="0"/>
    <n v="0"/>
    <n v="0"/>
    <m/>
    <n v="55.8"/>
  </r>
  <r>
    <s v="USR-100765"/>
    <d v="2025-03-25T00:00:00"/>
    <x v="1"/>
    <s v="South"/>
    <s v="Desktop"/>
    <s v="Organic"/>
    <s v="Basic"/>
    <n v="0"/>
    <n v="0"/>
    <n v="0"/>
    <x v="0"/>
    <n v="0"/>
    <n v="1"/>
    <n v="1"/>
    <n v="0"/>
    <m/>
    <n v="60.1"/>
  </r>
  <r>
    <s v="USR-100766"/>
    <d v="2025-01-14T00:00:00"/>
    <x v="1"/>
    <s v="West"/>
    <m/>
    <s v="Email"/>
    <s v="Basic"/>
    <n v="1"/>
    <n v="1"/>
    <n v="1"/>
    <x v="0"/>
    <n v="0"/>
    <n v="1"/>
    <n v="1"/>
    <n v="0"/>
    <m/>
    <n v="59.3"/>
  </r>
  <r>
    <s v="USR-100767"/>
    <d v="2025-03-26T00:00:00"/>
    <x v="1"/>
    <s v="North"/>
    <s v="Mobile"/>
    <s v="Organic"/>
    <s v="Free"/>
    <n v="1"/>
    <n v="1"/>
    <n v="0"/>
    <x v="0"/>
    <n v="0"/>
    <n v="2"/>
    <n v="1"/>
    <n v="0"/>
    <m/>
    <n v="49.3"/>
  </r>
  <r>
    <s v="USR-100768"/>
    <d v="2025-01-16T00:00:00"/>
    <x v="1"/>
    <s v="East"/>
    <s v="Mobile"/>
    <s v="Referral"/>
    <s v="Free"/>
    <n v="1"/>
    <n v="0"/>
    <n v="0"/>
    <x v="0"/>
    <n v="0"/>
    <n v="0"/>
    <n v="0"/>
    <n v="0"/>
    <m/>
    <n v="75"/>
  </r>
  <r>
    <s v="USR-100769"/>
    <d v="2025-01-04T00:00:00"/>
    <x v="1"/>
    <s v="East"/>
    <s v="Mobile"/>
    <s v="Social"/>
    <s v="Free"/>
    <n v="1"/>
    <n v="0"/>
    <n v="0"/>
    <x v="0"/>
    <n v="0"/>
    <n v="0"/>
    <n v="0"/>
    <n v="0"/>
    <m/>
    <n v="70.2"/>
  </r>
  <r>
    <s v="USR-100770"/>
    <d v="2025-02-09T00:00:00"/>
    <x v="1"/>
    <s v="South"/>
    <s v="Desktop"/>
    <s v="Organic"/>
    <s v="Premium"/>
    <n v="1"/>
    <n v="1"/>
    <n v="1"/>
    <x v="0"/>
    <n v="0"/>
    <n v="0"/>
    <n v="0"/>
    <n v="0"/>
    <m/>
    <n v="56.6"/>
  </r>
  <r>
    <s v="USR-100771"/>
    <d v="2025-03-05T00:00:00"/>
    <x v="1"/>
    <s v="East"/>
    <s v="Desktop"/>
    <s v="Organic"/>
    <s v="Free"/>
    <n v="1"/>
    <n v="0"/>
    <n v="0"/>
    <x v="0"/>
    <n v="0"/>
    <n v="0"/>
    <n v="0"/>
    <n v="0"/>
    <m/>
    <n v="65.400000000000006"/>
  </r>
  <r>
    <s v="USR-100772"/>
    <d v="2025-03-10T00:00:00"/>
    <x v="1"/>
    <s v="East"/>
    <s v="Mobile"/>
    <s v="Referral"/>
    <s v="Basic"/>
    <n v="1"/>
    <n v="0"/>
    <n v="0"/>
    <x v="0"/>
    <n v="0"/>
    <n v="0"/>
    <n v="0"/>
    <n v="0"/>
    <m/>
    <n v="47.6"/>
  </r>
  <r>
    <s v="USR-100773"/>
    <d v="2025-02-27T00:00:00"/>
    <x v="1"/>
    <s v="East"/>
    <s v="Desktop"/>
    <s v="Paid Search"/>
    <s v="Free"/>
    <n v="1"/>
    <n v="0"/>
    <n v="0"/>
    <x v="0"/>
    <n v="0"/>
    <n v="0"/>
    <n v="0"/>
    <n v="0"/>
    <m/>
    <n v="56.7"/>
  </r>
  <r>
    <s v="USR-100774"/>
    <d v="2025-03-10T00:00:00"/>
    <x v="1"/>
    <s v="North"/>
    <s v="Desktop"/>
    <s v="Referral"/>
    <s v="Basic"/>
    <n v="1"/>
    <n v="1"/>
    <n v="0"/>
    <x v="0"/>
    <n v="0"/>
    <n v="0"/>
    <n v="0"/>
    <n v="0"/>
    <m/>
    <n v="71.400000000000006"/>
  </r>
  <r>
    <s v="USR-100775"/>
    <d v="2025-04-23T00:00:00"/>
    <x v="1"/>
    <s v="West"/>
    <s v="Mobile"/>
    <s v="Social"/>
    <s v="Free"/>
    <n v="0"/>
    <n v="0"/>
    <n v="0"/>
    <x v="0"/>
    <n v="0"/>
    <n v="2"/>
    <n v="1"/>
    <n v="0"/>
    <m/>
    <n v="60.5"/>
  </r>
  <r>
    <s v="USR-100776"/>
    <d v="2025-04-12T00:00:00"/>
    <x v="1"/>
    <s v="North"/>
    <s v="Desktop"/>
    <s v="Paid Search"/>
    <s v="Free"/>
    <n v="1"/>
    <n v="0"/>
    <n v="0"/>
    <x v="0"/>
    <n v="0"/>
    <n v="0"/>
    <n v="0"/>
    <n v="0"/>
    <m/>
    <n v="46.7"/>
  </r>
  <r>
    <s v="USR-100777"/>
    <d v="2025-01-26T00:00:00"/>
    <x v="1"/>
    <s v="East"/>
    <s v="Desktop"/>
    <s v="Referral"/>
    <s v="Free"/>
    <n v="0"/>
    <n v="0"/>
    <n v="0"/>
    <x v="0"/>
    <n v="0"/>
    <n v="0"/>
    <n v="0"/>
    <n v="0"/>
    <m/>
    <n v="61"/>
  </r>
  <r>
    <s v="USR-100778"/>
    <d v="2025-05-24T00:00:00"/>
    <x v="1"/>
    <s v="West"/>
    <s v="Tablet"/>
    <s v="Paid Search"/>
    <s v="Free"/>
    <n v="0"/>
    <n v="0"/>
    <n v="0"/>
    <x v="0"/>
    <n v="0"/>
    <n v="0"/>
    <n v="0"/>
    <n v="0"/>
    <m/>
    <n v="60.9"/>
  </r>
  <r>
    <s v="USR-100779"/>
    <d v="2025-01-08T00:00:00"/>
    <x v="1"/>
    <s v="South"/>
    <s v="Mobile"/>
    <s v="Organic"/>
    <s v="Free"/>
    <n v="1"/>
    <n v="0"/>
    <n v="0"/>
    <x v="0"/>
    <n v="0"/>
    <n v="0"/>
    <n v="0"/>
    <n v="0"/>
    <m/>
    <n v="67.099999999999994"/>
  </r>
  <r>
    <s v="USR-100780"/>
    <d v="2025-04-15T00:00:00"/>
    <x v="1"/>
    <s v="North"/>
    <s v="Mobile"/>
    <s v="Referral"/>
    <s v="Free"/>
    <n v="1"/>
    <n v="1"/>
    <n v="0"/>
    <x v="0"/>
    <n v="0"/>
    <n v="0"/>
    <n v="0"/>
    <n v="0"/>
    <m/>
    <n v="59.6"/>
  </r>
  <r>
    <s v="USR-100781"/>
    <d v="2025-01-15T00:00:00"/>
    <x v="1"/>
    <s v="South"/>
    <s v="Desktop"/>
    <s v="Paid Search"/>
    <s v="Free"/>
    <n v="1"/>
    <n v="0"/>
    <n v="0"/>
    <x v="0"/>
    <n v="0"/>
    <n v="0"/>
    <n v="0"/>
    <n v="0"/>
    <m/>
    <n v="83.8"/>
  </r>
  <r>
    <s v="USR-100782"/>
    <d v="2025-02-28T00:00:00"/>
    <x v="1"/>
    <s v="North"/>
    <s v="Mobile"/>
    <s v="Organic"/>
    <s v="Basic"/>
    <n v="1"/>
    <n v="1"/>
    <n v="1"/>
    <x v="0"/>
    <n v="0"/>
    <n v="0"/>
    <n v="0"/>
    <n v="0"/>
    <m/>
    <n v="70.8"/>
  </r>
  <r>
    <s v="USR-100783"/>
    <d v="2025-01-01T00:00:00"/>
    <x v="1"/>
    <s v="North"/>
    <s v="Tablet"/>
    <s v="Organic"/>
    <s v="Basic"/>
    <n v="0"/>
    <n v="0"/>
    <n v="0"/>
    <x v="0"/>
    <n v="0"/>
    <n v="0"/>
    <n v="0"/>
    <n v="0"/>
    <m/>
    <n v="65.900000000000006"/>
  </r>
  <r>
    <s v="USR-100784"/>
    <d v="2025-04-17T00:00:00"/>
    <x v="1"/>
    <s v="West"/>
    <s v="Mobile"/>
    <s v="Referral"/>
    <s v="Free"/>
    <n v="1"/>
    <n v="0"/>
    <n v="0"/>
    <x v="0"/>
    <n v="0"/>
    <n v="0"/>
    <n v="0"/>
    <n v="0"/>
    <m/>
    <n v="58"/>
  </r>
  <r>
    <s v="USR-100785"/>
    <d v="2025-02-19T00:00:00"/>
    <x v="1"/>
    <s v="North"/>
    <s v="Mobile"/>
    <s v="Email"/>
    <s v="Basic"/>
    <n v="1"/>
    <n v="1"/>
    <n v="0"/>
    <x v="0"/>
    <n v="0"/>
    <n v="0"/>
    <n v="0"/>
    <n v="0"/>
    <m/>
    <n v="80.3"/>
  </r>
  <r>
    <s v="USR-100786"/>
    <d v="2025-03-14T00:00:00"/>
    <x v="1"/>
    <s v="North"/>
    <s v="Desktop"/>
    <s v="Organic"/>
    <s v="Free"/>
    <n v="1"/>
    <n v="0"/>
    <n v="0"/>
    <x v="0"/>
    <n v="0"/>
    <n v="0"/>
    <n v="0"/>
    <n v="0"/>
    <m/>
    <n v="55.7"/>
  </r>
  <r>
    <s v="USR-100787"/>
    <d v="2025-04-21T00:00:00"/>
    <x v="1"/>
    <s v="North"/>
    <s v="Mobile"/>
    <s v="Organic"/>
    <s v="Free"/>
    <n v="1"/>
    <n v="1"/>
    <n v="0"/>
    <x v="0"/>
    <n v="0"/>
    <n v="0"/>
    <n v="0"/>
    <n v="0"/>
    <m/>
    <n v="84.9"/>
  </r>
  <r>
    <s v="USR-100788"/>
    <d v="2025-02-14T00:00:00"/>
    <x v="1"/>
    <s v="North"/>
    <s v="Mobile"/>
    <s v="Organic"/>
    <s v="Free"/>
    <n v="1"/>
    <n v="0"/>
    <n v="0"/>
    <x v="0"/>
    <n v="0"/>
    <n v="0"/>
    <n v="0"/>
    <n v="0"/>
    <m/>
    <n v="63.3"/>
  </r>
  <r>
    <s v="USR-100789"/>
    <d v="2025-05-30T00:00:00"/>
    <x v="1"/>
    <s v="West"/>
    <s v="Mobile"/>
    <s v="Organic"/>
    <s v="Free"/>
    <n v="0"/>
    <n v="0"/>
    <n v="0"/>
    <x v="0"/>
    <n v="0"/>
    <n v="0"/>
    <n v="0"/>
    <n v="0"/>
    <m/>
    <n v="53.1"/>
  </r>
  <r>
    <s v="USR-100790"/>
    <d v="2025-01-20T00:00:00"/>
    <x v="1"/>
    <s v="West"/>
    <s v="Mobile"/>
    <s v="Organic"/>
    <s v="Free"/>
    <n v="0"/>
    <n v="0"/>
    <n v="0"/>
    <x v="0"/>
    <n v="0"/>
    <n v="0"/>
    <n v="0"/>
    <n v="0"/>
    <m/>
    <n v="66"/>
  </r>
  <r>
    <s v="USR-100791"/>
    <d v="2025-03-17T00:00:00"/>
    <x v="1"/>
    <s v="West"/>
    <s v="Mobile"/>
    <s v="Social"/>
    <s v="Premium"/>
    <n v="0"/>
    <n v="0"/>
    <n v="0"/>
    <x v="0"/>
    <n v="0"/>
    <n v="0"/>
    <n v="0"/>
    <n v="0"/>
    <m/>
    <n v="54.7"/>
  </r>
  <r>
    <s v="USR-100792"/>
    <d v="2025-03-04T00:00:00"/>
    <x v="1"/>
    <s v="West"/>
    <s v="Mobile"/>
    <s v="Social"/>
    <s v="Free"/>
    <n v="1"/>
    <n v="1"/>
    <n v="0"/>
    <x v="0"/>
    <n v="0"/>
    <n v="1"/>
    <n v="1"/>
    <n v="0"/>
    <m/>
    <n v="41.2"/>
  </r>
  <r>
    <s v="USR-100793"/>
    <d v="2025-02-22T00:00:00"/>
    <x v="1"/>
    <s v="South"/>
    <s v="Mobile"/>
    <s v="Organic"/>
    <s v="Premium"/>
    <n v="0"/>
    <n v="0"/>
    <n v="0"/>
    <x v="0"/>
    <n v="0"/>
    <n v="0"/>
    <n v="0"/>
    <n v="0"/>
    <m/>
    <n v="66.7"/>
  </r>
  <r>
    <s v="USR-100794"/>
    <d v="2025-05-02T00:00:00"/>
    <x v="1"/>
    <s v="North"/>
    <s v="Mobile"/>
    <s v="Paid Search"/>
    <s v="Premium"/>
    <n v="0"/>
    <n v="0"/>
    <n v="0"/>
    <x v="0"/>
    <n v="0"/>
    <n v="0"/>
    <n v="0"/>
    <n v="0"/>
    <m/>
    <n v="39.4"/>
  </r>
  <r>
    <s v="USR-100795"/>
    <d v="2025-03-13T00:00:00"/>
    <x v="1"/>
    <s v="West"/>
    <s v="Desktop"/>
    <s v="Organic"/>
    <s v="Premium"/>
    <n v="0"/>
    <n v="0"/>
    <n v="0"/>
    <x v="0"/>
    <n v="0"/>
    <n v="3"/>
    <n v="1"/>
    <n v="0"/>
    <m/>
    <n v="67"/>
  </r>
  <r>
    <s v="USR-100796"/>
    <d v="2025-05-31T00:00:00"/>
    <x v="1"/>
    <s v="South"/>
    <s v="Mobile"/>
    <s v="Organic"/>
    <s v="Basic"/>
    <n v="1"/>
    <n v="0"/>
    <n v="0"/>
    <x v="0"/>
    <n v="0"/>
    <n v="0"/>
    <n v="0"/>
    <n v="0"/>
    <m/>
    <n v="50.4"/>
  </r>
  <r>
    <s v="USR-100797"/>
    <d v="2025-03-07T00:00:00"/>
    <x v="1"/>
    <s v="West"/>
    <s v="Desktop"/>
    <s v="Social"/>
    <s v="Free"/>
    <n v="1"/>
    <n v="0"/>
    <n v="0"/>
    <x v="0"/>
    <n v="0"/>
    <n v="0"/>
    <n v="0"/>
    <n v="0"/>
    <m/>
    <n v="53.8"/>
  </r>
  <r>
    <s v="USR-100798"/>
    <d v="2025-02-22T00:00:00"/>
    <x v="1"/>
    <s v="West"/>
    <s v="Mobile"/>
    <s v="Paid Search"/>
    <s v="Basic"/>
    <n v="0"/>
    <n v="0"/>
    <n v="0"/>
    <x v="0"/>
    <n v="0"/>
    <n v="1"/>
    <n v="1"/>
    <n v="0"/>
    <m/>
    <n v="82.7"/>
  </r>
  <r>
    <s v="USR-100799"/>
    <d v="2025-01-05T00:00:00"/>
    <x v="1"/>
    <s v="West"/>
    <s v="Desktop"/>
    <s v="Paid Search"/>
    <s v="Free"/>
    <n v="1"/>
    <n v="1"/>
    <n v="1"/>
    <x v="0"/>
    <n v="0"/>
    <n v="0"/>
    <n v="0"/>
    <n v="0"/>
    <m/>
    <n v="63.9"/>
  </r>
  <r>
    <s v="USR-100800"/>
    <d v="2025-01-21T00:00:00"/>
    <x v="1"/>
    <s v="West"/>
    <s v="Mobile"/>
    <s v="Referral"/>
    <s v="Free"/>
    <n v="1"/>
    <n v="0"/>
    <n v="0"/>
    <x v="0"/>
    <n v="0"/>
    <n v="0"/>
    <n v="0"/>
    <n v="0"/>
    <m/>
    <n v="61.9"/>
  </r>
  <r>
    <s v="USR-100801"/>
    <d v="2025-01-25T00:00:00"/>
    <x v="1"/>
    <s v="North"/>
    <s v="Desktop"/>
    <s v="Social"/>
    <s v="Free"/>
    <n v="1"/>
    <n v="1"/>
    <n v="1"/>
    <x v="0"/>
    <n v="0"/>
    <n v="0"/>
    <n v="0"/>
    <n v="0"/>
    <m/>
    <n v="75"/>
  </r>
  <r>
    <s v="USR-100802"/>
    <d v="2025-04-04T00:00:00"/>
    <x v="1"/>
    <s v="West"/>
    <s v="Mobile"/>
    <s v="Paid Search"/>
    <s v="Basic"/>
    <n v="1"/>
    <n v="1"/>
    <n v="1"/>
    <x v="0"/>
    <n v="0"/>
    <n v="0"/>
    <n v="0"/>
    <n v="0"/>
    <m/>
    <n v="43"/>
  </r>
  <r>
    <s v="USR-100803"/>
    <d v="2025-03-25T00:00:00"/>
    <x v="1"/>
    <s v="North"/>
    <s v="Desktop"/>
    <s v="Social"/>
    <s v="Premium"/>
    <n v="0"/>
    <n v="0"/>
    <n v="0"/>
    <x v="0"/>
    <n v="0"/>
    <n v="0"/>
    <n v="0"/>
    <n v="0"/>
    <m/>
    <n v="54.3"/>
  </r>
  <r>
    <s v="USR-100804"/>
    <d v="2025-03-19T00:00:00"/>
    <x v="1"/>
    <s v="West"/>
    <s v="Mobile"/>
    <s v="Social"/>
    <s v="Free"/>
    <n v="0"/>
    <n v="0"/>
    <n v="0"/>
    <x v="0"/>
    <n v="0"/>
    <n v="2"/>
    <n v="1"/>
    <n v="0"/>
    <m/>
    <n v="44.3"/>
  </r>
  <r>
    <s v="USR-100805"/>
    <d v="2025-04-24T00:00:00"/>
    <x v="1"/>
    <s v="West"/>
    <s v="Desktop"/>
    <s v="Organic"/>
    <s v="Free"/>
    <n v="1"/>
    <n v="1"/>
    <n v="1"/>
    <x v="1"/>
    <n v="402.88"/>
    <n v="0"/>
    <n v="0"/>
    <n v="0"/>
    <n v="12"/>
    <n v="76"/>
  </r>
  <r>
    <s v="USR-100806"/>
    <d v="2025-04-04T00:00:00"/>
    <x v="1"/>
    <s v="South"/>
    <s v="Tablet"/>
    <s v="Organic"/>
    <s v="Free"/>
    <n v="1"/>
    <n v="0"/>
    <n v="0"/>
    <x v="0"/>
    <n v="0"/>
    <n v="2"/>
    <n v="1"/>
    <n v="0"/>
    <m/>
    <n v="65.3"/>
  </r>
  <r>
    <s v="USR-100807"/>
    <d v="2025-03-28T00:00:00"/>
    <x v="1"/>
    <s v="South"/>
    <s v="Desktop"/>
    <s v="Paid Search"/>
    <s v="Premium"/>
    <n v="1"/>
    <n v="0"/>
    <n v="0"/>
    <x v="0"/>
    <n v="0"/>
    <n v="0"/>
    <n v="0"/>
    <n v="0"/>
    <m/>
    <n v="71.2"/>
  </r>
  <r>
    <s v="USR-100808"/>
    <d v="2025-05-15T00:00:00"/>
    <x v="1"/>
    <s v="South"/>
    <s v="Tablet"/>
    <s v="Paid Search"/>
    <s v="Free"/>
    <n v="1"/>
    <n v="0"/>
    <n v="0"/>
    <x v="0"/>
    <n v="0"/>
    <n v="0"/>
    <n v="0"/>
    <n v="0"/>
    <m/>
    <n v="77.900000000000006"/>
  </r>
  <r>
    <s v="USR-100809"/>
    <d v="2025-03-13T00:00:00"/>
    <x v="1"/>
    <s v="West"/>
    <s v="Mobile"/>
    <s v="Paid Search"/>
    <s v="Free"/>
    <n v="0"/>
    <n v="0"/>
    <n v="0"/>
    <x v="0"/>
    <n v="0"/>
    <n v="0"/>
    <n v="0"/>
    <n v="0"/>
    <m/>
    <n v="48.6"/>
  </r>
  <r>
    <s v="USR-100810"/>
    <d v="2025-03-26T00:00:00"/>
    <x v="1"/>
    <s v="North"/>
    <s v="Mobile"/>
    <s v="Social"/>
    <s v="Premium"/>
    <n v="1"/>
    <n v="0"/>
    <n v="0"/>
    <x v="0"/>
    <n v="0"/>
    <n v="0"/>
    <n v="0"/>
    <n v="0"/>
    <m/>
    <n v="61.9"/>
  </r>
  <r>
    <s v="USR-100811"/>
    <d v="2025-01-09T00:00:00"/>
    <x v="1"/>
    <s v="North"/>
    <s v="Mobile"/>
    <s v="Social"/>
    <s v="Basic"/>
    <n v="0"/>
    <n v="0"/>
    <n v="0"/>
    <x v="0"/>
    <n v="0"/>
    <n v="1"/>
    <n v="1"/>
    <n v="0"/>
    <m/>
    <n v="58.7"/>
  </r>
  <r>
    <s v="USR-100812"/>
    <d v="2025-05-06T00:00:00"/>
    <x v="1"/>
    <s v="South"/>
    <s v="Desktop"/>
    <s v="Paid Search"/>
    <s v="Free"/>
    <n v="1"/>
    <n v="0"/>
    <n v="0"/>
    <x v="0"/>
    <n v="0"/>
    <n v="0"/>
    <n v="0"/>
    <n v="0"/>
    <m/>
    <n v="69.599999999999994"/>
  </r>
  <r>
    <s v="USR-100813"/>
    <d v="2025-02-17T00:00:00"/>
    <x v="1"/>
    <s v="South"/>
    <s v="Mobile"/>
    <s v="Organic"/>
    <s v="Free"/>
    <n v="1"/>
    <n v="0"/>
    <n v="0"/>
    <x v="0"/>
    <n v="0"/>
    <n v="0"/>
    <n v="0"/>
    <n v="0"/>
    <m/>
    <n v="51.5"/>
  </r>
  <r>
    <s v="USR-100814"/>
    <d v="2025-04-05T00:00:00"/>
    <x v="1"/>
    <s v="East"/>
    <s v="Mobile"/>
    <s v="Paid Search"/>
    <s v="Free"/>
    <n v="1"/>
    <n v="1"/>
    <n v="1"/>
    <x v="1"/>
    <n v="277.69"/>
    <n v="3"/>
    <n v="1"/>
    <n v="0"/>
    <n v="8"/>
    <n v="46"/>
  </r>
  <r>
    <s v="USR-100815"/>
    <d v="2025-04-13T00:00:00"/>
    <x v="1"/>
    <s v="West"/>
    <s v="Tablet"/>
    <s v="Organic"/>
    <s v="Free"/>
    <n v="1"/>
    <n v="0"/>
    <n v="0"/>
    <x v="0"/>
    <n v="0"/>
    <n v="0"/>
    <n v="0"/>
    <n v="0"/>
    <m/>
    <n v="81.7"/>
  </r>
  <r>
    <s v="USR-100816"/>
    <d v="2025-05-20T00:00:00"/>
    <x v="1"/>
    <s v="East"/>
    <s v="Desktop"/>
    <s v="Referral"/>
    <s v="Free"/>
    <n v="1"/>
    <n v="0"/>
    <n v="0"/>
    <x v="0"/>
    <n v="0"/>
    <n v="0"/>
    <n v="0"/>
    <n v="0"/>
    <m/>
    <n v="48.3"/>
  </r>
  <r>
    <s v="USR-100817"/>
    <d v="2025-03-31T00:00:00"/>
    <x v="1"/>
    <s v="East"/>
    <s v="Mobile"/>
    <s v="Email"/>
    <s v="Free"/>
    <n v="1"/>
    <n v="1"/>
    <n v="0"/>
    <x v="0"/>
    <n v="0"/>
    <n v="0"/>
    <n v="0"/>
    <n v="0"/>
    <m/>
    <n v="85.6"/>
  </r>
  <r>
    <s v="USR-100818"/>
    <d v="2025-04-03T00:00:00"/>
    <x v="1"/>
    <s v="West"/>
    <s v="Tablet"/>
    <s v="Paid Search"/>
    <s v="Basic"/>
    <n v="1"/>
    <n v="0"/>
    <n v="0"/>
    <x v="0"/>
    <n v="0"/>
    <n v="0"/>
    <n v="0"/>
    <n v="0"/>
    <m/>
    <n v="53.8"/>
  </r>
  <r>
    <s v="USR-100819"/>
    <d v="2025-02-04T00:00:00"/>
    <x v="1"/>
    <s v="South"/>
    <s v="Mobile"/>
    <s v="Organic"/>
    <s v="Free"/>
    <n v="1"/>
    <n v="1"/>
    <n v="1"/>
    <x v="1"/>
    <n v="460.83"/>
    <n v="2"/>
    <n v="1"/>
    <n v="0"/>
    <n v="0"/>
    <n v="69.7"/>
  </r>
  <r>
    <s v="USR-100820"/>
    <d v="2025-05-19T00:00:00"/>
    <x v="1"/>
    <s v="East"/>
    <s v="Mobile"/>
    <s v="Organic"/>
    <s v="Free"/>
    <n v="1"/>
    <n v="0"/>
    <n v="0"/>
    <x v="0"/>
    <n v="0"/>
    <n v="0"/>
    <n v="0"/>
    <n v="0"/>
    <m/>
    <n v="74.8"/>
  </r>
  <r>
    <s v="USR-100821"/>
    <d v="2025-03-08T00:00:00"/>
    <x v="1"/>
    <s v="East"/>
    <s v="Desktop"/>
    <s v="Paid Search"/>
    <s v="Basic"/>
    <n v="0"/>
    <n v="0"/>
    <n v="0"/>
    <x v="0"/>
    <n v="0"/>
    <n v="0"/>
    <n v="0"/>
    <n v="0"/>
    <m/>
    <n v="87.9"/>
  </r>
  <r>
    <s v="USR-100822"/>
    <d v="2025-05-10T00:00:00"/>
    <x v="1"/>
    <s v="North"/>
    <s v="Mobile"/>
    <s v="Social"/>
    <s v="Basic"/>
    <n v="1"/>
    <n v="0"/>
    <n v="0"/>
    <x v="0"/>
    <n v="0"/>
    <n v="1"/>
    <n v="1"/>
    <n v="0"/>
    <m/>
    <n v="49.1"/>
  </r>
  <r>
    <s v="USR-100823"/>
    <d v="2025-01-02T00:00:00"/>
    <x v="1"/>
    <s v="East"/>
    <s v="Desktop"/>
    <s v="Social"/>
    <s v="Basic"/>
    <n v="1"/>
    <n v="0"/>
    <n v="0"/>
    <x v="0"/>
    <n v="0"/>
    <n v="2"/>
    <n v="1"/>
    <n v="0"/>
    <m/>
    <n v="73"/>
  </r>
  <r>
    <s v="USR-100824"/>
    <d v="2025-01-17T00:00:00"/>
    <x v="1"/>
    <s v="West"/>
    <s v="Mobile"/>
    <s v="Organic"/>
    <s v="Basic"/>
    <n v="0"/>
    <n v="0"/>
    <n v="0"/>
    <x v="0"/>
    <n v="0"/>
    <n v="0"/>
    <n v="0"/>
    <n v="0"/>
    <m/>
    <n v="79.5"/>
  </r>
  <r>
    <s v="USR-100825"/>
    <d v="2025-05-21T00:00:00"/>
    <x v="1"/>
    <s v="West"/>
    <s v="Mobile"/>
    <s v="Referral"/>
    <s v="Basic"/>
    <n v="1"/>
    <n v="1"/>
    <n v="1"/>
    <x v="1"/>
    <n v="782.23"/>
    <n v="1"/>
    <n v="1"/>
    <n v="0"/>
    <n v="6"/>
    <n v="93.2"/>
  </r>
  <r>
    <s v="USR-100826"/>
    <d v="2025-05-25T00:00:00"/>
    <x v="1"/>
    <s v="East"/>
    <s v="Desktop"/>
    <s v="Referral"/>
    <s v="Free"/>
    <n v="1"/>
    <n v="0"/>
    <n v="0"/>
    <x v="0"/>
    <n v="0"/>
    <n v="3"/>
    <n v="1"/>
    <n v="0"/>
    <m/>
    <n v="77.5"/>
  </r>
  <r>
    <s v="USR-100827"/>
    <d v="2025-01-05T00:00:00"/>
    <x v="1"/>
    <s v="West"/>
    <s v="Mobile"/>
    <s v="Email"/>
    <s v="Basic"/>
    <n v="1"/>
    <n v="0"/>
    <n v="0"/>
    <x v="0"/>
    <n v="0"/>
    <n v="0"/>
    <n v="0"/>
    <n v="0"/>
    <m/>
    <n v="61"/>
  </r>
  <r>
    <s v="USR-100828"/>
    <d v="2025-02-24T00:00:00"/>
    <x v="1"/>
    <s v="South"/>
    <s v="Desktop"/>
    <s v="Organic"/>
    <s v="Free"/>
    <n v="1"/>
    <n v="1"/>
    <n v="0"/>
    <x v="0"/>
    <n v="0"/>
    <n v="0"/>
    <n v="0"/>
    <n v="0"/>
    <m/>
    <n v="64.900000000000006"/>
  </r>
  <r>
    <s v="USR-100829"/>
    <d v="2025-01-21T00:00:00"/>
    <x v="1"/>
    <s v="East"/>
    <s v="Mobile"/>
    <s v="Paid Search"/>
    <s v="Basic"/>
    <n v="1"/>
    <n v="0"/>
    <n v="0"/>
    <x v="0"/>
    <n v="0"/>
    <n v="0"/>
    <n v="0"/>
    <n v="0"/>
    <m/>
    <n v="87.5"/>
  </r>
  <r>
    <s v="USR-100830"/>
    <d v="2025-04-24T00:00:00"/>
    <x v="1"/>
    <s v="North"/>
    <s v="Mobile"/>
    <s v="Organic"/>
    <s v="Basic"/>
    <n v="1"/>
    <n v="1"/>
    <n v="1"/>
    <x v="1"/>
    <n v="1171.99"/>
    <n v="0"/>
    <n v="0"/>
    <n v="0"/>
    <n v="5"/>
    <n v="80.599999999999994"/>
  </r>
  <r>
    <s v="USR-100831"/>
    <d v="2025-01-07T00:00:00"/>
    <x v="1"/>
    <s v="West"/>
    <s v="Desktop"/>
    <s v="Organic"/>
    <s v="Free"/>
    <n v="1"/>
    <n v="0"/>
    <n v="0"/>
    <x v="0"/>
    <n v="0"/>
    <n v="0"/>
    <n v="0"/>
    <n v="0"/>
    <m/>
    <n v="66.900000000000006"/>
  </r>
  <r>
    <s v="USR-100832"/>
    <d v="2025-05-31T00:00:00"/>
    <x v="1"/>
    <s v="South"/>
    <s v="Tablet"/>
    <s v="Organic"/>
    <s v="Basic"/>
    <n v="1"/>
    <n v="1"/>
    <n v="1"/>
    <x v="0"/>
    <n v="0"/>
    <n v="0"/>
    <n v="0"/>
    <n v="0"/>
    <m/>
    <n v="58.8"/>
  </r>
  <r>
    <s v="USR-100833"/>
    <d v="2025-04-02T00:00:00"/>
    <x v="1"/>
    <s v="North"/>
    <s v="Desktop"/>
    <s v="Organic"/>
    <s v="Basic"/>
    <n v="1"/>
    <n v="1"/>
    <n v="1"/>
    <x v="1"/>
    <n v="1010.4"/>
    <n v="0"/>
    <n v="0"/>
    <n v="0"/>
    <n v="4"/>
    <n v="42.9"/>
  </r>
  <r>
    <s v="USR-100834"/>
    <d v="2025-04-21T00:00:00"/>
    <x v="1"/>
    <s v="East"/>
    <s v="Mobile"/>
    <s v="Organic"/>
    <s v="Free"/>
    <n v="1"/>
    <n v="1"/>
    <n v="1"/>
    <x v="0"/>
    <n v="0"/>
    <n v="1"/>
    <n v="1"/>
    <n v="0"/>
    <m/>
    <n v="60.2"/>
  </r>
  <r>
    <s v="USR-100835"/>
    <d v="2025-05-05T00:00:00"/>
    <x v="1"/>
    <s v="East"/>
    <s v="Mobile"/>
    <s v="Paid Search"/>
    <s v="Basic"/>
    <n v="1"/>
    <n v="0"/>
    <n v="0"/>
    <x v="0"/>
    <n v="0"/>
    <n v="0"/>
    <n v="0"/>
    <n v="0"/>
    <m/>
    <n v="42.7"/>
  </r>
  <r>
    <s v="USR-100836"/>
    <d v="2025-01-06T00:00:00"/>
    <x v="1"/>
    <s v="North"/>
    <s v="Desktop"/>
    <s v="Social"/>
    <s v="Free"/>
    <n v="1"/>
    <n v="1"/>
    <n v="1"/>
    <x v="1"/>
    <n v="431.27"/>
    <n v="0"/>
    <n v="0"/>
    <n v="0"/>
    <n v="7"/>
    <n v="60.8"/>
  </r>
  <r>
    <s v="USR-100837"/>
    <d v="2025-04-24T00:00:00"/>
    <x v="1"/>
    <s v="South"/>
    <s v="Mobile"/>
    <s v="Referral"/>
    <s v="Free"/>
    <n v="1"/>
    <n v="1"/>
    <n v="1"/>
    <x v="1"/>
    <n v="428.8"/>
    <n v="0"/>
    <n v="0"/>
    <n v="0"/>
    <n v="9"/>
    <n v="79.3"/>
  </r>
  <r>
    <s v="USR-100838"/>
    <d v="2025-04-21T00:00:00"/>
    <x v="1"/>
    <s v="South"/>
    <s v="Mobile"/>
    <s v="Organic"/>
    <s v="Basic"/>
    <n v="1"/>
    <n v="0"/>
    <n v="0"/>
    <x v="0"/>
    <n v="0"/>
    <n v="1"/>
    <n v="1"/>
    <n v="0"/>
    <m/>
    <n v="88.6"/>
  </r>
  <r>
    <s v="USR-100839"/>
    <d v="2025-02-09T00:00:00"/>
    <x v="1"/>
    <s v="West"/>
    <s v="Mobile"/>
    <s v="Organic"/>
    <s v="Basic"/>
    <n v="1"/>
    <n v="1"/>
    <n v="1"/>
    <x v="0"/>
    <n v="0"/>
    <n v="0"/>
    <n v="0"/>
    <n v="0"/>
    <m/>
    <n v="63.1"/>
  </r>
  <r>
    <s v="USR-100840"/>
    <d v="2025-01-09T00:00:00"/>
    <x v="1"/>
    <s v="East"/>
    <s v="Mobile"/>
    <s v="Organic"/>
    <s v="Premium"/>
    <n v="1"/>
    <n v="0"/>
    <n v="0"/>
    <x v="0"/>
    <n v="0"/>
    <n v="0"/>
    <n v="0"/>
    <n v="0"/>
    <m/>
    <n v="39.700000000000003"/>
  </r>
  <r>
    <s v="USR-100841"/>
    <d v="2025-02-16T00:00:00"/>
    <x v="1"/>
    <s v="North"/>
    <s v="Mobile"/>
    <s v="Paid Search"/>
    <s v="Basic"/>
    <n v="0"/>
    <n v="0"/>
    <n v="0"/>
    <x v="0"/>
    <n v="0"/>
    <n v="0"/>
    <n v="0"/>
    <n v="0"/>
    <m/>
    <n v="67.2"/>
  </r>
  <r>
    <s v="USR-100842"/>
    <d v="2025-02-21T00:00:00"/>
    <x v="1"/>
    <s v="South"/>
    <s v="Mobile"/>
    <s v="Organic"/>
    <s v="Free"/>
    <n v="1"/>
    <n v="1"/>
    <n v="1"/>
    <x v="0"/>
    <n v="0"/>
    <n v="0"/>
    <n v="0"/>
    <n v="0"/>
    <m/>
    <n v="62.3"/>
  </r>
  <r>
    <s v="USR-100843"/>
    <d v="2025-02-08T00:00:00"/>
    <x v="1"/>
    <s v="South"/>
    <s v="Mobile"/>
    <s v="Organic"/>
    <s v="Premium"/>
    <n v="1"/>
    <n v="0"/>
    <n v="0"/>
    <x v="0"/>
    <n v="0"/>
    <n v="0"/>
    <n v="0"/>
    <n v="0"/>
    <m/>
    <m/>
  </r>
  <r>
    <s v="USR-100844"/>
    <d v="2025-01-22T00:00:00"/>
    <x v="1"/>
    <s v="South"/>
    <s v="Mobile"/>
    <s v="Paid Search"/>
    <s v="Premium"/>
    <n v="0"/>
    <n v="0"/>
    <n v="0"/>
    <x v="0"/>
    <n v="0"/>
    <n v="0"/>
    <n v="0"/>
    <n v="0"/>
    <m/>
    <n v="60.7"/>
  </r>
  <r>
    <s v="USR-100845"/>
    <d v="2025-04-01T00:00:00"/>
    <x v="1"/>
    <s v="West"/>
    <s v="Mobile"/>
    <s v="Organic"/>
    <s v="Basic"/>
    <n v="1"/>
    <n v="0"/>
    <n v="0"/>
    <x v="0"/>
    <n v="0"/>
    <n v="0"/>
    <n v="0"/>
    <n v="0"/>
    <m/>
    <n v="61.5"/>
  </r>
  <r>
    <s v="USR-100846"/>
    <d v="2025-01-21T00:00:00"/>
    <x v="1"/>
    <s v="North"/>
    <s v="Mobile"/>
    <s v="Paid Search"/>
    <s v="Basic"/>
    <n v="1"/>
    <n v="0"/>
    <n v="0"/>
    <x v="0"/>
    <n v="0"/>
    <n v="0"/>
    <n v="0"/>
    <n v="0"/>
    <m/>
    <n v="75"/>
  </r>
  <r>
    <s v="USR-100847"/>
    <d v="2025-01-02T00:00:00"/>
    <x v="1"/>
    <s v="East"/>
    <s v="Desktop"/>
    <s v="Organic"/>
    <s v="Free"/>
    <n v="1"/>
    <n v="1"/>
    <n v="0"/>
    <x v="0"/>
    <n v="0"/>
    <n v="0"/>
    <n v="0"/>
    <n v="0"/>
    <m/>
    <n v="51.9"/>
  </r>
  <r>
    <s v="USR-100848"/>
    <d v="2025-05-12T00:00:00"/>
    <x v="1"/>
    <s v="South"/>
    <s v="Desktop"/>
    <s v="Paid Search"/>
    <s v="Free"/>
    <n v="0"/>
    <n v="0"/>
    <n v="0"/>
    <x v="0"/>
    <n v="0"/>
    <n v="0"/>
    <n v="0"/>
    <n v="0"/>
    <m/>
    <n v="34.5"/>
  </r>
  <r>
    <s v="USR-100849"/>
    <d v="2025-03-05T00:00:00"/>
    <x v="1"/>
    <s v="South"/>
    <s v="Mobile"/>
    <s v="Social"/>
    <s v="Basic"/>
    <n v="0"/>
    <n v="0"/>
    <n v="0"/>
    <x v="0"/>
    <n v="0"/>
    <n v="0"/>
    <n v="0"/>
    <n v="0"/>
    <m/>
    <n v="54.5"/>
  </r>
  <r>
    <s v="USR-100850"/>
    <d v="2025-01-24T00:00:00"/>
    <x v="1"/>
    <s v="East"/>
    <s v="Mobile"/>
    <s v="Organic"/>
    <s v="Free"/>
    <n v="0"/>
    <n v="0"/>
    <n v="0"/>
    <x v="0"/>
    <n v="0"/>
    <n v="0"/>
    <n v="0"/>
    <n v="0"/>
    <m/>
    <n v="46"/>
  </r>
  <r>
    <s v="USR-100851"/>
    <d v="2025-01-31T00:00:00"/>
    <x v="1"/>
    <s v="East"/>
    <s v="Desktop"/>
    <s v="Email"/>
    <s v="Free"/>
    <n v="1"/>
    <n v="1"/>
    <n v="1"/>
    <x v="0"/>
    <n v="0"/>
    <n v="0"/>
    <n v="0"/>
    <n v="0"/>
    <m/>
    <n v="88.4"/>
  </r>
  <r>
    <s v="USR-100852"/>
    <d v="2025-01-24T00:00:00"/>
    <x v="1"/>
    <s v="North"/>
    <s v="Tablet"/>
    <s v="Organic"/>
    <s v="Basic"/>
    <n v="1"/>
    <n v="0"/>
    <n v="0"/>
    <x v="0"/>
    <n v="0"/>
    <n v="0"/>
    <n v="0"/>
    <n v="0"/>
    <m/>
    <n v="69.5"/>
  </r>
  <r>
    <s v="USR-100853"/>
    <d v="2025-02-14T00:00:00"/>
    <x v="1"/>
    <s v="North"/>
    <s v="Desktop"/>
    <s v="Referral"/>
    <s v="Basic"/>
    <n v="1"/>
    <n v="1"/>
    <n v="1"/>
    <x v="0"/>
    <n v="0"/>
    <n v="0"/>
    <n v="0"/>
    <n v="0"/>
    <m/>
    <n v="74.2"/>
  </r>
  <r>
    <s v="USR-100854"/>
    <d v="2025-05-27T00:00:00"/>
    <x v="1"/>
    <s v="North"/>
    <s v="Mobile"/>
    <s v="Organic"/>
    <s v="Free"/>
    <n v="1"/>
    <n v="1"/>
    <n v="1"/>
    <x v="0"/>
    <n v="0"/>
    <n v="0"/>
    <n v="0"/>
    <n v="0"/>
    <m/>
    <n v="72.099999999999994"/>
  </r>
  <r>
    <s v="USR-100855"/>
    <d v="2025-02-28T00:00:00"/>
    <x v="1"/>
    <s v="North"/>
    <s v="Mobile"/>
    <s v="Paid Search"/>
    <s v="Free"/>
    <n v="1"/>
    <n v="1"/>
    <n v="1"/>
    <x v="1"/>
    <n v="398.33"/>
    <n v="0"/>
    <n v="0"/>
    <n v="0"/>
    <n v="5"/>
    <n v="85.1"/>
  </r>
  <r>
    <s v="USR-100856"/>
    <d v="2025-05-27T00:00:00"/>
    <x v="1"/>
    <s v="North"/>
    <s v="Mobile"/>
    <s v="Organic"/>
    <s v="Basic"/>
    <n v="1"/>
    <n v="1"/>
    <n v="1"/>
    <x v="0"/>
    <n v="0"/>
    <n v="0"/>
    <n v="0"/>
    <n v="0"/>
    <m/>
    <n v="49.5"/>
  </r>
  <r>
    <s v="USR-100857"/>
    <d v="2025-05-17T00:00:00"/>
    <x v="1"/>
    <s v="South"/>
    <s v="Mobile"/>
    <s v="Paid Search"/>
    <s v="Premium"/>
    <n v="0"/>
    <n v="0"/>
    <n v="0"/>
    <x v="0"/>
    <n v="0"/>
    <n v="1"/>
    <n v="1"/>
    <n v="0"/>
    <m/>
    <n v="79"/>
  </r>
  <r>
    <s v="USR-100858"/>
    <d v="2025-01-10T00:00:00"/>
    <x v="1"/>
    <s v="West"/>
    <s v="Desktop"/>
    <s v="Social"/>
    <s v="Free"/>
    <n v="0"/>
    <n v="0"/>
    <n v="0"/>
    <x v="0"/>
    <n v="0"/>
    <n v="0"/>
    <n v="0"/>
    <n v="0"/>
    <m/>
    <n v="71.8"/>
  </r>
  <r>
    <s v="USR-100859"/>
    <d v="2025-04-22T00:00:00"/>
    <x v="1"/>
    <s v="North"/>
    <s v="Mobile"/>
    <s v="Email"/>
    <s v="Basic"/>
    <n v="1"/>
    <n v="1"/>
    <n v="1"/>
    <x v="1"/>
    <n v="1117.54"/>
    <n v="0"/>
    <n v="0"/>
    <n v="0"/>
    <n v="6"/>
    <n v="60.4"/>
  </r>
  <r>
    <s v="USR-100860"/>
    <d v="2025-03-02T00:00:00"/>
    <x v="1"/>
    <s v="South"/>
    <s v="Desktop"/>
    <s v="Organic"/>
    <s v="Basic"/>
    <n v="1"/>
    <n v="0"/>
    <n v="0"/>
    <x v="0"/>
    <n v="0"/>
    <n v="2"/>
    <n v="1"/>
    <n v="0"/>
    <m/>
    <n v="38.299999999999997"/>
  </r>
  <r>
    <s v="USR-100861"/>
    <d v="2025-03-23T00:00:00"/>
    <x v="1"/>
    <s v="East"/>
    <s v="Mobile"/>
    <s v="Paid Search"/>
    <s v="Free"/>
    <n v="1"/>
    <n v="1"/>
    <n v="1"/>
    <x v="0"/>
    <n v="0"/>
    <n v="0"/>
    <n v="0"/>
    <n v="0"/>
    <m/>
    <n v="79.599999999999994"/>
  </r>
  <r>
    <s v="USR-100862"/>
    <d v="2025-02-12T00:00:00"/>
    <x v="1"/>
    <s v="East"/>
    <s v="Mobile"/>
    <s v="Email"/>
    <s v="Free"/>
    <n v="1"/>
    <n v="1"/>
    <n v="1"/>
    <x v="0"/>
    <n v="0"/>
    <n v="0"/>
    <n v="0"/>
    <n v="0"/>
    <m/>
    <n v="71.900000000000006"/>
  </r>
  <r>
    <s v="USR-100863"/>
    <d v="2025-05-03T00:00:00"/>
    <x v="1"/>
    <s v="South"/>
    <s v="Mobile"/>
    <s v="Referral"/>
    <s v="Basic"/>
    <n v="1"/>
    <n v="0"/>
    <n v="0"/>
    <x v="0"/>
    <n v="0"/>
    <n v="0"/>
    <n v="0"/>
    <n v="0"/>
    <m/>
    <n v="54.6"/>
  </r>
  <r>
    <s v="USR-100864"/>
    <d v="2025-03-28T00:00:00"/>
    <x v="1"/>
    <s v="North"/>
    <s v="Desktop"/>
    <s v="Social"/>
    <s v="Free"/>
    <n v="1"/>
    <n v="0"/>
    <n v="0"/>
    <x v="0"/>
    <n v="0"/>
    <n v="3"/>
    <n v="1"/>
    <n v="0"/>
    <m/>
    <n v="49.3"/>
  </r>
  <r>
    <s v="USR-100865"/>
    <d v="2025-03-12T00:00:00"/>
    <x v="1"/>
    <s v="North"/>
    <s v="Mobile"/>
    <s v="Social"/>
    <s v="Basic"/>
    <n v="0"/>
    <n v="0"/>
    <n v="0"/>
    <x v="0"/>
    <n v="0"/>
    <n v="1"/>
    <n v="1"/>
    <n v="0"/>
    <m/>
    <n v="66.900000000000006"/>
  </r>
  <r>
    <s v="USR-100866"/>
    <d v="2025-04-27T00:00:00"/>
    <x v="1"/>
    <s v="East"/>
    <s v="Mobile"/>
    <s v="Paid Search"/>
    <s v="Free"/>
    <n v="1"/>
    <n v="0"/>
    <n v="0"/>
    <x v="0"/>
    <n v="0"/>
    <n v="1"/>
    <n v="1"/>
    <n v="0"/>
    <m/>
    <n v="77.8"/>
  </r>
  <r>
    <s v="USR-100867"/>
    <d v="2025-04-02T00:00:00"/>
    <x v="1"/>
    <s v="South"/>
    <s v="Mobile"/>
    <s v="Referral"/>
    <s v="Basic"/>
    <n v="1"/>
    <n v="0"/>
    <n v="0"/>
    <x v="0"/>
    <n v="0"/>
    <n v="0"/>
    <n v="0"/>
    <n v="0"/>
    <m/>
    <n v="63"/>
  </r>
  <r>
    <s v="USR-100868"/>
    <d v="2025-04-21T00:00:00"/>
    <x v="1"/>
    <s v="North"/>
    <s v="Mobile"/>
    <s v="Social"/>
    <s v="Free"/>
    <n v="0"/>
    <n v="0"/>
    <n v="0"/>
    <x v="0"/>
    <n v="0"/>
    <n v="0"/>
    <n v="0"/>
    <n v="0"/>
    <m/>
    <n v="79.8"/>
  </r>
  <r>
    <s v="USR-100869"/>
    <d v="2025-01-26T00:00:00"/>
    <x v="1"/>
    <s v="West"/>
    <s v="Desktop"/>
    <s v="Organic"/>
    <s v="Basic"/>
    <n v="0"/>
    <n v="0"/>
    <n v="0"/>
    <x v="0"/>
    <n v="0"/>
    <n v="0"/>
    <n v="0"/>
    <n v="0"/>
    <m/>
    <n v="69.900000000000006"/>
  </r>
  <r>
    <s v="USR-100870"/>
    <d v="2025-01-06T00:00:00"/>
    <x v="1"/>
    <s v="West"/>
    <s v="Mobile"/>
    <s v="Organic"/>
    <s v="Free"/>
    <n v="0"/>
    <n v="0"/>
    <n v="0"/>
    <x v="0"/>
    <n v="0"/>
    <n v="1"/>
    <n v="1"/>
    <n v="0"/>
    <m/>
    <n v="66.400000000000006"/>
  </r>
  <r>
    <s v="USR-100871"/>
    <d v="2025-02-07T00:00:00"/>
    <x v="1"/>
    <s v="East"/>
    <s v="Mobile"/>
    <s v="Organic"/>
    <s v="Free"/>
    <n v="1"/>
    <n v="0"/>
    <n v="0"/>
    <x v="0"/>
    <n v="0"/>
    <n v="0"/>
    <n v="0"/>
    <n v="0"/>
    <m/>
    <n v="27.6"/>
  </r>
  <r>
    <s v="USR-100872"/>
    <d v="2025-05-07T00:00:00"/>
    <x v="1"/>
    <s v="West"/>
    <s v="Mobile"/>
    <s v="Organic"/>
    <s v="Premium"/>
    <n v="1"/>
    <n v="0"/>
    <n v="0"/>
    <x v="0"/>
    <n v="0"/>
    <n v="1"/>
    <n v="1"/>
    <n v="0"/>
    <m/>
    <n v="56.5"/>
  </r>
  <r>
    <s v="USR-100873"/>
    <d v="2025-04-22T00:00:00"/>
    <x v="1"/>
    <s v="West"/>
    <m/>
    <s v="Social"/>
    <s v="Free"/>
    <n v="1"/>
    <n v="0"/>
    <n v="0"/>
    <x v="0"/>
    <n v="0"/>
    <n v="0"/>
    <n v="0"/>
    <n v="0"/>
    <m/>
    <n v="67.8"/>
  </r>
  <r>
    <s v="USR-100874"/>
    <d v="2025-05-04T00:00:00"/>
    <x v="1"/>
    <s v="West"/>
    <s v="Desktop"/>
    <s v="Social"/>
    <s v="Free"/>
    <n v="1"/>
    <n v="0"/>
    <n v="0"/>
    <x v="0"/>
    <n v="0"/>
    <n v="0"/>
    <n v="0"/>
    <n v="0"/>
    <m/>
    <n v="80"/>
  </r>
  <r>
    <s v="USR-100875"/>
    <d v="2025-05-16T00:00:00"/>
    <x v="1"/>
    <s v="South"/>
    <s v="Mobile"/>
    <s v="Social"/>
    <s v="Basic"/>
    <n v="1"/>
    <n v="1"/>
    <n v="1"/>
    <x v="0"/>
    <n v="0"/>
    <n v="1"/>
    <n v="1"/>
    <n v="0"/>
    <m/>
    <n v="80.900000000000006"/>
  </r>
  <r>
    <s v="USR-100876"/>
    <d v="2025-02-11T00:00:00"/>
    <x v="1"/>
    <s v="West"/>
    <s v="Mobile"/>
    <s v="Paid Search"/>
    <s v="Free"/>
    <n v="0"/>
    <n v="0"/>
    <n v="0"/>
    <x v="0"/>
    <n v="0"/>
    <n v="0"/>
    <n v="0"/>
    <n v="0"/>
    <m/>
    <n v="34.5"/>
  </r>
  <r>
    <s v="USR-100877"/>
    <d v="2025-05-09T00:00:00"/>
    <x v="1"/>
    <s v="East"/>
    <s v="Desktop"/>
    <s v="Organic"/>
    <s v="Premium"/>
    <n v="1"/>
    <n v="0"/>
    <n v="0"/>
    <x v="0"/>
    <n v="0"/>
    <n v="0"/>
    <n v="0"/>
    <n v="0"/>
    <m/>
    <n v="73.5"/>
  </r>
  <r>
    <s v="USR-100878"/>
    <d v="2025-02-09T00:00:00"/>
    <x v="1"/>
    <s v="South"/>
    <s v="Desktop"/>
    <s v="Paid Search"/>
    <s v="Free"/>
    <n v="1"/>
    <n v="1"/>
    <n v="0"/>
    <x v="0"/>
    <n v="0"/>
    <n v="0"/>
    <n v="0"/>
    <n v="0"/>
    <m/>
    <n v="70"/>
  </r>
  <r>
    <s v="USR-100879"/>
    <d v="2025-05-22T00:00:00"/>
    <x v="1"/>
    <s v="West"/>
    <s v="Mobile"/>
    <s v="Social"/>
    <s v="Basic"/>
    <n v="0"/>
    <n v="0"/>
    <n v="0"/>
    <x v="0"/>
    <n v="0"/>
    <n v="0"/>
    <n v="0"/>
    <n v="0"/>
    <m/>
    <n v="86.9"/>
  </r>
  <r>
    <s v="USR-100880"/>
    <d v="2025-05-24T00:00:00"/>
    <x v="1"/>
    <s v="East"/>
    <s v="Mobile"/>
    <s v="Social"/>
    <s v="Basic"/>
    <n v="0"/>
    <n v="0"/>
    <n v="0"/>
    <x v="0"/>
    <n v="0"/>
    <n v="0"/>
    <n v="0"/>
    <n v="0"/>
    <m/>
    <n v="66.900000000000006"/>
  </r>
  <r>
    <s v="USR-100881"/>
    <d v="2025-04-27T00:00:00"/>
    <x v="1"/>
    <s v="South"/>
    <s v="Desktop"/>
    <s v="Social"/>
    <s v="Basic"/>
    <n v="1"/>
    <n v="1"/>
    <n v="1"/>
    <x v="0"/>
    <n v="0"/>
    <n v="0"/>
    <n v="0"/>
    <n v="0"/>
    <m/>
    <n v="58.3"/>
  </r>
  <r>
    <s v="USR-100882"/>
    <d v="2025-03-19T00:00:00"/>
    <x v="1"/>
    <s v="East"/>
    <s v="Mobile"/>
    <s v="Paid Search"/>
    <s v="Free"/>
    <n v="1"/>
    <n v="0"/>
    <n v="0"/>
    <x v="0"/>
    <n v="0"/>
    <n v="0"/>
    <n v="0"/>
    <n v="0"/>
    <m/>
    <n v="45"/>
  </r>
  <r>
    <s v="USR-100883"/>
    <d v="2025-05-20T00:00:00"/>
    <x v="1"/>
    <s v="South"/>
    <s v="Mobile"/>
    <s v="Organic"/>
    <s v="Premium"/>
    <n v="0"/>
    <n v="0"/>
    <n v="0"/>
    <x v="0"/>
    <n v="0"/>
    <n v="0"/>
    <n v="0"/>
    <n v="0"/>
    <m/>
    <n v="60.8"/>
  </r>
  <r>
    <s v="USR-100884"/>
    <d v="2025-05-10T00:00:00"/>
    <x v="1"/>
    <s v="North"/>
    <s v="Mobile"/>
    <s v="Email"/>
    <s v="Premium"/>
    <n v="1"/>
    <n v="0"/>
    <n v="0"/>
    <x v="0"/>
    <n v="0"/>
    <n v="4"/>
    <n v="1"/>
    <n v="0"/>
    <m/>
    <n v="53.7"/>
  </r>
  <r>
    <s v="USR-100885"/>
    <d v="2025-03-29T00:00:00"/>
    <x v="1"/>
    <s v="East"/>
    <s v="Mobile"/>
    <s v="Social"/>
    <s v="Free"/>
    <n v="1"/>
    <n v="1"/>
    <n v="1"/>
    <x v="0"/>
    <n v="0"/>
    <n v="0"/>
    <n v="0"/>
    <n v="0"/>
    <m/>
    <n v="48.8"/>
  </r>
  <r>
    <s v="USR-100886"/>
    <d v="2025-04-03T00:00:00"/>
    <x v="1"/>
    <s v="West"/>
    <s v="Desktop"/>
    <s v="Referral"/>
    <s v="Basic"/>
    <n v="0"/>
    <n v="0"/>
    <n v="0"/>
    <x v="0"/>
    <n v="0"/>
    <n v="0"/>
    <n v="0"/>
    <n v="0"/>
    <m/>
    <n v="52.9"/>
  </r>
  <r>
    <s v="USR-100887"/>
    <d v="2025-05-30T00:00:00"/>
    <x v="1"/>
    <s v="South"/>
    <s v="Mobile"/>
    <s v="Email"/>
    <s v="Free"/>
    <n v="1"/>
    <n v="0"/>
    <n v="0"/>
    <x v="0"/>
    <n v="0"/>
    <n v="0"/>
    <n v="0"/>
    <n v="0"/>
    <m/>
    <n v="42.4"/>
  </r>
  <r>
    <s v="USR-100888"/>
    <d v="2025-04-06T00:00:00"/>
    <x v="1"/>
    <s v="East"/>
    <s v="Desktop"/>
    <s v="Email"/>
    <s v="Free"/>
    <n v="1"/>
    <n v="0"/>
    <n v="0"/>
    <x v="0"/>
    <n v="0"/>
    <n v="0"/>
    <n v="0"/>
    <n v="0"/>
    <m/>
    <n v="58.7"/>
  </r>
  <r>
    <s v="USR-100889"/>
    <d v="2025-03-14T00:00:00"/>
    <x v="1"/>
    <s v="North"/>
    <s v="Mobile"/>
    <s v="Referral"/>
    <s v="Free"/>
    <n v="1"/>
    <n v="1"/>
    <n v="1"/>
    <x v="1"/>
    <n v="2064.5500000000002"/>
    <n v="0"/>
    <n v="0"/>
    <n v="0"/>
    <n v="1"/>
    <n v="67.8"/>
  </r>
  <r>
    <s v="USR-100890"/>
    <d v="2025-02-24T00:00:00"/>
    <x v="1"/>
    <s v="South"/>
    <s v="Desktop"/>
    <s v="Paid Search"/>
    <s v="Basic"/>
    <n v="1"/>
    <n v="0"/>
    <n v="0"/>
    <x v="0"/>
    <n v="0"/>
    <n v="0"/>
    <n v="0"/>
    <n v="0"/>
    <m/>
    <n v="62.6"/>
  </r>
  <r>
    <s v="USR-100891"/>
    <d v="2025-03-04T00:00:00"/>
    <x v="1"/>
    <s v="West"/>
    <s v="Mobile"/>
    <s v="Email"/>
    <s v="Basic"/>
    <n v="1"/>
    <n v="0"/>
    <n v="0"/>
    <x v="0"/>
    <n v="0"/>
    <n v="0"/>
    <n v="0"/>
    <n v="0"/>
    <m/>
    <n v="82.4"/>
  </r>
  <r>
    <s v="USR-100892"/>
    <d v="2025-04-02T00:00:00"/>
    <x v="1"/>
    <s v="North"/>
    <s v="Mobile"/>
    <s v="Organic"/>
    <s v="Free"/>
    <n v="1"/>
    <n v="1"/>
    <n v="1"/>
    <x v="0"/>
    <n v="0"/>
    <n v="0"/>
    <n v="0"/>
    <n v="0"/>
    <m/>
    <n v="50.4"/>
  </r>
  <r>
    <s v="USR-100893"/>
    <d v="2025-05-11T00:00:00"/>
    <x v="1"/>
    <s v="North"/>
    <s v="Mobile"/>
    <s v="Email"/>
    <s v="Premium"/>
    <n v="0"/>
    <n v="0"/>
    <n v="0"/>
    <x v="0"/>
    <n v="0"/>
    <n v="0"/>
    <n v="0"/>
    <n v="0"/>
    <m/>
    <n v="68.400000000000006"/>
  </r>
  <r>
    <s v="USR-100894"/>
    <d v="2025-05-10T00:00:00"/>
    <x v="1"/>
    <s v="West"/>
    <s v="Tablet"/>
    <s v="Paid Search"/>
    <s v="Basic"/>
    <n v="1"/>
    <n v="1"/>
    <n v="1"/>
    <x v="0"/>
    <n v="0"/>
    <n v="0"/>
    <n v="0"/>
    <n v="0"/>
    <m/>
    <n v="58.8"/>
  </r>
  <r>
    <s v="USR-100895"/>
    <d v="2025-05-06T00:00:00"/>
    <x v="1"/>
    <s v="West"/>
    <s v="Mobile"/>
    <s v="Referral"/>
    <s v="Free"/>
    <n v="1"/>
    <n v="1"/>
    <n v="0"/>
    <x v="0"/>
    <n v="0"/>
    <n v="2"/>
    <n v="1"/>
    <n v="0"/>
    <m/>
    <n v="28.3"/>
  </r>
  <r>
    <s v="USR-100896"/>
    <d v="2025-02-11T00:00:00"/>
    <x v="1"/>
    <s v="West"/>
    <s v="Desktop"/>
    <s v="Paid Search"/>
    <s v="Free"/>
    <n v="1"/>
    <n v="1"/>
    <n v="0"/>
    <x v="0"/>
    <n v="0"/>
    <n v="0"/>
    <n v="0"/>
    <n v="0"/>
    <m/>
    <n v="44.1"/>
  </r>
  <r>
    <s v="USR-100897"/>
    <d v="2025-05-09T00:00:00"/>
    <x v="1"/>
    <s v="South"/>
    <s v="Mobile"/>
    <s v="Paid Search"/>
    <s v="Premium"/>
    <n v="1"/>
    <n v="1"/>
    <n v="0"/>
    <x v="0"/>
    <n v="0"/>
    <n v="0"/>
    <n v="0"/>
    <n v="0"/>
    <m/>
    <n v="66.7"/>
  </r>
  <r>
    <s v="USR-100898"/>
    <d v="2025-02-02T00:00:00"/>
    <x v="1"/>
    <s v="South"/>
    <s v="Mobile"/>
    <m/>
    <s v="Free"/>
    <n v="1"/>
    <n v="0"/>
    <n v="0"/>
    <x v="0"/>
    <n v="0"/>
    <n v="0"/>
    <n v="0"/>
    <n v="0"/>
    <m/>
    <n v="100"/>
  </r>
  <r>
    <s v="USR-100899"/>
    <d v="2025-04-03T00:00:00"/>
    <x v="1"/>
    <s v="South"/>
    <s v="Mobile"/>
    <s v="Social"/>
    <s v="Free"/>
    <n v="1"/>
    <n v="1"/>
    <n v="0"/>
    <x v="0"/>
    <n v="0"/>
    <n v="0"/>
    <n v="0"/>
    <n v="0"/>
    <m/>
    <n v="87.5"/>
  </r>
  <r>
    <s v="USR-100900"/>
    <d v="2025-02-15T00:00:00"/>
    <x v="1"/>
    <s v="North"/>
    <s v="Desktop"/>
    <s v="Organic"/>
    <s v="Basic"/>
    <n v="1"/>
    <n v="0"/>
    <n v="0"/>
    <x v="0"/>
    <n v="0"/>
    <n v="2"/>
    <n v="1"/>
    <n v="0"/>
    <m/>
    <n v="65.400000000000006"/>
  </r>
  <r>
    <s v="USR-100901"/>
    <d v="2025-04-18T00:00:00"/>
    <x v="1"/>
    <s v="South"/>
    <s v="Desktop"/>
    <s v="Organic"/>
    <s v="Free"/>
    <n v="1"/>
    <n v="0"/>
    <n v="0"/>
    <x v="0"/>
    <n v="0"/>
    <n v="0"/>
    <n v="0"/>
    <n v="0"/>
    <m/>
    <n v="22.9"/>
  </r>
  <r>
    <s v="USR-100902"/>
    <d v="2025-03-14T00:00:00"/>
    <x v="1"/>
    <s v="West"/>
    <s v="Desktop"/>
    <s v="Organic"/>
    <s v="Premium"/>
    <n v="0"/>
    <n v="0"/>
    <n v="0"/>
    <x v="0"/>
    <n v="0"/>
    <n v="0"/>
    <n v="0"/>
    <n v="0"/>
    <m/>
    <n v="64.599999999999994"/>
  </r>
  <r>
    <s v="USR-100903"/>
    <d v="2025-03-29T00:00:00"/>
    <x v="1"/>
    <s v="South"/>
    <s v="Mobile"/>
    <s v="Referral"/>
    <s v="Free"/>
    <n v="1"/>
    <n v="0"/>
    <n v="0"/>
    <x v="0"/>
    <n v="0"/>
    <n v="2"/>
    <n v="1"/>
    <n v="0"/>
    <m/>
    <n v="54.4"/>
  </r>
  <r>
    <s v="USR-100904"/>
    <d v="2025-02-13T00:00:00"/>
    <x v="1"/>
    <s v="North"/>
    <s v="Desktop"/>
    <s v="Organic"/>
    <s v="Free"/>
    <n v="1"/>
    <n v="1"/>
    <n v="1"/>
    <x v="0"/>
    <n v="0"/>
    <n v="0"/>
    <n v="0"/>
    <n v="0"/>
    <m/>
    <n v="56.8"/>
  </r>
  <r>
    <s v="USR-100905"/>
    <d v="2025-01-23T00:00:00"/>
    <x v="1"/>
    <s v="South"/>
    <s v="Mobile"/>
    <s v="Paid Search"/>
    <s v="Free"/>
    <n v="1"/>
    <n v="1"/>
    <n v="1"/>
    <x v="1"/>
    <n v="341.38"/>
    <n v="0"/>
    <n v="0"/>
    <n v="0"/>
    <n v="2"/>
    <n v="63.6"/>
  </r>
  <r>
    <s v="USR-100906"/>
    <d v="2025-02-24T00:00:00"/>
    <x v="1"/>
    <s v="East"/>
    <s v="Mobile"/>
    <s v="Social"/>
    <s v="Free"/>
    <n v="1"/>
    <n v="0"/>
    <n v="0"/>
    <x v="0"/>
    <n v="0"/>
    <n v="0"/>
    <n v="0"/>
    <n v="0"/>
    <m/>
    <n v="58.2"/>
  </r>
  <r>
    <s v="USR-100907"/>
    <d v="2025-02-28T00:00:00"/>
    <x v="1"/>
    <s v="West"/>
    <s v="Mobile"/>
    <s v="Paid Search"/>
    <s v="Free"/>
    <n v="1"/>
    <n v="1"/>
    <n v="0"/>
    <x v="0"/>
    <n v="0"/>
    <n v="0"/>
    <n v="0"/>
    <n v="0"/>
    <m/>
    <n v="54.6"/>
  </r>
  <r>
    <s v="USR-100908"/>
    <d v="2025-01-07T00:00:00"/>
    <x v="1"/>
    <s v="West"/>
    <s v="Tablet"/>
    <s v="Organic"/>
    <s v="Basic"/>
    <n v="1"/>
    <n v="0"/>
    <n v="0"/>
    <x v="0"/>
    <n v="0"/>
    <n v="0"/>
    <n v="0"/>
    <n v="0"/>
    <m/>
    <n v="81.900000000000006"/>
  </r>
  <r>
    <s v="USR-100909"/>
    <d v="2025-03-21T00:00:00"/>
    <x v="1"/>
    <s v="West"/>
    <s v="Desktop"/>
    <s v="Email"/>
    <s v="Free"/>
    <n v="1"/>
    <n v="0"/>
    <n v="0"/>
    <x v="0"/>
    <n v="0"/>
    <n v="3"/>
    <n v="1"/>
    <n v="0"/>
    <m/>
    <n v="53.3"/>
  </r>
  <r>
    <s v="USR-100910"/>
    <d v="2025-02-18T00:00:00"/>
    <x v="1"/>
    <s v="North"/>
    <s v="Desktop"/>
    <s v="Organic"/>
    <s v="Basic"/>
    <n v="0"/>
    <n v="0"/>
    <n v="0"/>
    <x v="0"/>
    <n v="0"/>
    <n v="0"/>
    <n v="0"/>
    <n v="0"/>
    <m/>
    <n v="54.2"/>
  </r>
  <r>
    <s v="USR-100911"/>
    <d v="2025-01-05T00:00:00"/>
    <x v="1"/>
    <s v="North"/>
    <s v="Mobile"/>
    <s v="Paid Search"/>
    <s v="Free"/>
    <n v="1"/>
    <n v="1"/>
    <n v="0"/>
    <x v="0"/>
    <n v="0"/>
    <n v="0"/>
    <n v="0"/>
    <n v="0"/>
    <m/>
    <n v="65.599999999999994"/>
  </r>
  <r>
    <s v="USR-100912"/>
    <d v="2025-03-11T00:00:00"/>
    <x v="1"/>
    <s v="East"/>
    <s v="Desktop"/>
    <s v="Organic"/>
    <s v="Basic"/>
    <n v="1"/>
    <n v="0"/>
    <n v="0"/>
    <x v="0"/>
    <n v="0"/>
    <n v="1"/>
    <n v="1"/>
    <n v="0"/>
    <m/>
    <n v="56.5"/>
  </r>
  <r>
    <s v="USR-100913"/>
    <d v="2025-01-09T00:00:00"/>
    <x v="1"/>
    <s v="North"/>
    <s v="Desktop"/>
    <s v="Organic"/>
    <s v="Basic"/>
    <n v="1"/>
    <n v="0"/>
    <n v="0"/>
    <x v="0"/>
    <n v="0"/>
    <n v="0"/>
    <n v="0"/>
    <n v="0"/>
    <m/>
    <n v="59.7"/>
  </r>
  <r>
    <s v="USR-100914"/>
    <d v="2025-01-08T00:00:00"/>
    <x v="1"/>
    <s v="South"/>
    <s v="Mobile"/>
    <s v="Organic"/>
    <s v="Free"/>
    <n v="1"/>
    <n v="1"/>
    <n v="1"/>
    <x v="0"/>
    <n v="0"/>
    <n v="0"/>
    <n v="0"/>
    <n v="0"/>
    <m/>
    <n v="72.5"/>
  </r>
  <r>
    <s v="USR-100915"/>
    <d v="2025-05-01T00:00:00"/>
    <x v="1"/>
    <s v="East"/>
    <s v="Desktop"/>
    <s v="Paid Search"/>
    <s v="Free"/>
    <n v="1"/>
    <n v="0"/>
    <n v="0"/>
    <x v="0"/>
    <n v="0"/>
    <n v="0"/>
    <n v="0"/>
    <n v="0"/>
    <m/>
    <n v="64.3"/>
  </r>
  <r>
    <s v="USR-100916"/>
    <d v="2025-03-03T00:00:00"/>
    <x v="1"/>
    <s v="South"/>
    <s v="Mobile"/>
    <s v="Social"/>
    <s v="Free"/>
    <n v="1"/>
    <n v="0"/>
    <n v="0"/>
    <x v="0"/>
    <n v="0"/>
    <n v="0"/>
    <n v="0"/>
    <n v="0"/>
    <m/>
    <n v="64.5"/>
  </r>
  <r>
    <s v="USR-100433"/>
    <d v="2025-02-03T00:00:00"/>
    <x v="0"/>
    <s v="North"/>
    <s v="Tablet"/>
    <s v="Email"/>
    <s v="Basic"/>
    <n v="1"/>
    <n v="0"/>
    <n v="0"/>
    <x v="0"/>
    <n v="0"/>
    <n v="0"/>
    <n v="0"/>
    <n v="0"/>
    <m/>
    <n v="60.9"/>
  </r>
  <r>
    <s v="USR-100918"/>
    <d v="2025-02-17T00:00:00"/>
    <x v="1"/>
    <s v="South"/>
    <s v="Desktop"/>
    <s v="Organic"/>
    <s v="Basic"/>
    <n v="0"/>
    <n v="0"/>
    <n v="0"/>
    <x v="0"/>
    <n v="0"/>
    <n v="0"/>
    <n v="0"/>
    <n v="0"/>
    <m/>
    <n v="58.4"/>
  </r>
  <r>
    <s v="USR-100919"/>
    <d v="2025-05-21T00:00:00"/>
    <x v="1"/>
    <s v="East"/>
    <s v="Mobile"/>
    <s v="Organic"/>
    <s v="Basic"/>
    <n v="1"/>
    <n v="0"/>
    <n v="0"/>
    <x v="0"/>
    <n v="0"/>
    <n v="0"/>
    <n v="0"/>
    <n v="0"/>
    <m/>
    <n v="56.6"/>
  </r>
  <r>
    <s v="USR-100920"/>
    <d v="2025-01-30T00:00:00"/>
    <x v="1"/>
    <s v="South"/>
    <s v="Mobile"/>
    <s v="Organic"/>
    <s v="Free"/>
    <n v="1"/>
    <n v="0"/>
    <n v="0"/>
    <x v="0"/>
    <n v="0"/>
    <n v="0"/>
    <n v="0"/>
    <n v="0"/>
    <m/>
    <n v="61.8"/>
  </r>
  <r>
    <s v="USR-100921"/>
    <d v="2025-03-20T00:00:00"/>
    <x v="1"/>
    <s v="West"/>
    <s v="Mobile"/>
    <s v="Email"/>
    <s v="Free"/>
    <n v="1"/>
    <n v="1"/>
    <n v="1"/>
    <x v="1"/>
    <n v="513.52"/>
    <n v="0"/>
    <n v="0"/>
    <n v="0"/>
    <n v="8"/>
    <n v="43.4"/>
  </r>
  <r>
    <s v="USR-100922"/>
    <d v="2025-04-10T00:00:00"/>
    <x v="1"/>
    <s v="West"/>
    <s v="Tablet"/>
    <s v="Paid Search"/>
    <s v="Free"/>
    <n v="0"/>
    <n v="0"/>
    <n v="0"/>
    <x v="0"/>
    <n v="0"/>
    <n v="0"/>
    <n v="0"/>
    <n v="0"/>
    <m/>
    <n v="43"/>
  </r>
  <r>
    <s v="USR-100923"/>
    <d v="2025-03-07T00:00:00"/>
    <x v="1"/>
    <s v="North"/>
    <s v="Desktop"/>
    <s v="Organic"/>
    <s v="Free"/>
    <n v="1"/>
    <n v="1"/>
    <n v="1"/>
    <x v="0"/>
    <n v="0"/>
    <n v="0"/>
    <n v="0"/>
    <n v="0"/>
    <m/>
    <n v="51.1"/>
  </r>
  <r>
    <s v="USR-100924"/>
    <d v="2025-03-12T00:00:00"/>
    <x v="1"/>
    <s v="West"/>
    <s v="Mobile"/>
    <s v="Email"/>
    <s v="Basic"/>
    <n v="1"/>
    <n v="0"/>
    <n v="0"/>
    <x v="0"/>
    <n v="0"/>
    <n v="0"/>
    <n v="0"/>
    <n v="0"/>
    <m/>
    <n v="48.8"/>
  </r>
  <r>
    <s v="USR-100925"/>
    <d v="2025-02-24T00:00:00"/>
    <x v="1"/>
    <s v="East"/>
    <s v="Mobile"/>
    <s v="Referral"/>
    <s v="Free"/>
    <n v="0"/>
    <n v="0"/>
    <n v="0"/>
    <x v="0"/>
    <n v="0"/>
    <n v="0"/>
    <n v="0"/>
    <n v="0"/>
    <m/>
    <n v="73.2"/>
  </r>
  <r>
    <s v="USR-100926"/>
    <d v="2025-01-15T00:00:00"/>
    <x v="1"/>
    <s v="East"/>
    <s v="Mobile"/>
    <s v="Referral"/>
    <s v="Free"/>
    <n v="1"/>
    <n v="1"/>
    <n v="1"/>
    <x v="0"/>
    <n v="0"/>
    <n v="0"/>
    <n v="0"/>
    <n v="0"/>
    <m/>
    <n v="80"/>
  </r>
  <r>
    <s v="USR-100927"/>
    <d v="2025-01-07T00:00:00"/>
    <x v="1"/>
    <s v="North"/>
    <s v="Desktop"/>
    <s v="Paid Search"/>
    <s v="Free"/>
    <n v="1"/>
    <n v="0"/>
    <n v="0"/>
    <x v="0"/>
    <n v="0"/>
    <n v="0"/>
    <n v="0"/>
    <n v="0"/>
    <m/>
    <n v="52.3"/>
  </r>
  <r>
    <s v="USR-100928"/>
    <d v="2025-03-02T00:00:00"/>
    <x v="1"/>
    <s v="North"/>
    <s v="Desktop"/>
    <s v="Organic"/>
    <s v="Free"/>
    <n v="0"/>
    <n v="0"/>
    <n v="0"/>
    <x v="0"/>
    <n v="0"/>
    <n v="0"/>
    <n v="0"/>
    <n v="0"/>
    <m/>
    <n v="49.1"/>
  </r>
  <r>
    <s v="USR-100929"/>
    <d v="2025-01-05T00:00:00"/>
    <x v="1"/>
    <s v="South"/>
    <s v="Desktop"/>
    <s v="Referral"/>
    <s v="Basic"/>
    <n v="0"/>
    <n v="0"/>
    <n v="0"/>
    <x v="0"/>
    <n v="0"/>
    <n v="0"/>
    <n v="0"/>
    <n v="0"/>
    <m/>
    <n v="45.3"/>
  </r>
  <r>
    <s v="USR-100930"/>
    <d v="2025-03-03T00:00:00"/>
    <x v="1"/>
    <s v="South"/>
    <s v="Mobile"/>
    <s v="Organic"/>
    <s v="Free"/>
    <n v="1"/>
    <n v="1"/>
    <n v="0"/>
    <x v="0"/>
    <n v="0"/>
    <n v="0"/>
    <n v="0"/>
    <n v="0"/>
    <m/>
    <n v="49.1"/>
  </r>
  <r>
    <s v="USR-100931"/>
    <d v="2025-03-31T00:00:00"/>
    <x v="1"/>
    <s v="East"/>
    <s v="Desktop"/>
    <s v="Referral"/>
    <s v="Free"/>
    <n v="1"/>
    <n v="1"/>
    <n v="1"/>
    <x v="1"/>
    <n v="476.44"/>
    <n v="0"/>
    <n v="0"/>
    <n v="0"/>
    <n v="3"/>
    <n v="88.6"/>
  </r>
  <r>
    <s v="USR-100932"/>
    <d v="2025-01-14T00:00:00"/>
    <x v="1"/>
    <s v="East"/>
    <s v="Desktop"/>
    <s v="Paid Search"/>
    <s v="Premium"/>
    <n v="0"/>
    <n v="0"/>
    <n v="0"/>
    <x v="0"/>
    <n v="0"/>
    <n v="1"/>
    <n v="1"/>
    <n v="0"/>
    <m/>
    <n v="54.4"/>
  </r>
  <r>
    <s v="USR-100933"/>
    <d v="2025-01-15T00:00:00"/>
    <x v="1"/>
    <s v="West"/>
    <s v="Desktop"/>
    <s v="Paid Search"/>
    <s v="Premium"/>
    <n v="1"/>
    <n v="0"/>
    <n v="0"/>
    <x v="0"/>
    <n v="0"/>
    <n v="0"/>
    <n v="0"/>
    <n v="0"/>
    <m/>
    <n v="72.900000000000006"/>
  </r>
  <r>
    <s v="USR-100934"/>
    <d v="2025-04-25T00:00:00"/>
    <x v="1"/>
    <s v="West"/>
    <s v="Desktop"/>
    <s v="Organic"/>
    <s v="Free"/>
    <n v="1"/>
    <n v="0"/>
    <n v="0"/>
    <x v="0"/>
    <n v="0"/>
    <n v="0"/>
    <n v="0"/>
    <n v="0"/>
    <m/>
    <n v="53.2"/>
  </r>
  <r>
    <s v="USR-100935"/>
    <d v="2025-03-21T00:00:00"/>
    <x v="1"/>
    <s v="East"/>
    <s v="Mobile"/>
    <s v="Organic"/>
    <s v="Basic"/>
    <n v="1"/>
    <n v="1"/>
    <n v="0"/>
    <x v="0"/>
    <n v="0"/>
    <n v="0"/>
    <n v="0"/>
    <n v="0"/>
    <m/>
    <n v="48.7"/>
  </r>
  <r>
    <s v="USR-100936"/>
    <d v="2025-04-26T00:00:00"/>
    <x v="1"/>
    <s v="South"/>
    <s v="Mobile"/>
    <s v="Paid Search"/>
    <s v="Basic"/>
    <n v="1"/>
    <n v="1"/>
    <n v="1"/>
    <x v="0"/>
    <n v="0"/>
    <n v="0"/>
    <n v="0"/>
    <n v="0"/>
    <m/>
    <n v="59.9"/>
  </r>
  <r>
    <s v="USR-100937"/>
    <d v="2025-05-21T00:00:00"/>
    <x v="1"/>
    <s v="South"/>
    <s v="Desktop"/>
    <m/>
    <s v="Basic"/>
    <n v="0"/>
    <n v="0"/>
    <n v="0"/>
    <x v="0"/>
    <n v="0"/>
    <n v="0"/>
    <n v="0"/>
    <n v="0"/>
    <m/>
    <n v="82"/>
  </r>
  <r>
    <s v="USR-100938"/>
    <d v="2025-04-18T00:00:00"/>
    <x v="1"/>
    <s v="East"/>
    <s v="Mobile"/>
    <s v="Paid Search"/>
    <s v="Free"/>
    <n v="0"/>
    <n v="0"/>
    <n v="0"/>
    <x v="0"/>
    <n v="0"/>
    <n v="0"/>
    <n v="0"/>
    <n v="0"/>
    <m/>
    <n v="72.099999999999994"/>
  </r>
  <r>
    <s v="USR-100939"/>
    <d v="2025-01-29T00:00:00"/>
    <x v="1"/>
    <s v="North"/>
    <s v="Desktop"/>
    <s v="Email"/>
    <s v="Premium"/>
    <n v="1"/>
    <n v="1"/>
    <n v="0"/>
    <x v="0"/>
    <n v="0"/>
    <n v="0"/>
    <n v="0"/>
    <n v="0"/>
    <m/>
    <n v="68.3"/>
  </r>
  <r>
    <s v="USR-100940"/>
    <d v="2025-05-28T00:00:00"/>
    <x v="1"/>
    <s v="West"/>
    <s v="Mobile"/>
    <s v="Organic"/>
    <s v="Premium"/>
    <n v="0"/>
    <n v="0"/>
    <n v="0"/>
    <x v="0"/>
    <n v="0"/>
    <n v="0"/>
    <n v="0"/>
    <n v="0"/>
    <m/>
    <n v="100"/>
  </r>
  <r>
    <s v="USR-100941"/>
    <d v="2025-01-15T00:00:00"/>
    <x v="1"/>
    <s v="East"/>
    <s v="Mobile"/>
    <s v="Email"/>
    <s v="Free"/>
    <n v="1"/>
    <n v="1"/>
    <n v="1"/>
    <x v="0"/>
    <n v="0"/>
    <n v="2"/>
    <n v="1"/>
    <n v="0"/>
    <m/>
    <n v="76.5"/>
  </r>
  <r>
    <s v="USR-100942"/>
    <d v="2025-01-03T00:00:00"/>
    <x v="1"/>
    <s v="South"/>
    <s v="Mobile"/>
    <s v="Organic"/>
    <s v="Basic"/>
    <n v="1"/>
    <n v="1"/>
    <n v="0"/>
    <x v="0"/>
    <n v="0"/>
    <n v="0"/>
    <n v="0"/>
    <n v="0"/>
    <m/>
    <n v="62"/>
  </r>
  <r>
    <s v="USR-100943"/>
    <d v="2025-02-04T00:00:00"/>
    <x v="1"/>
    <s v="South"/>
    <s v="Mobile"/>
    <s v="Paid Search"/>
    <s v="Free"/>
    <n v="1"/>
    <n v="1"/>
    <n v="1"/>
    <x v="1"/>
    <n v="324.68"/>
    <n v="1"/>
    <n v="1"/>
    <n v="0"/>
    <n v="7"/>
    <n v="50.1"/>
  </r>
  <r>
    <s v="USR-100944"/>
    <d v="2025-02-22T00:00:00"/>
    <x v="1"/>
    <s v="South"/>
    <s v="Mobile"/>
    <s v="Referral"/>
    <s v="Premium"/>
    <n v="1"/>
    <n v="0"/>
    <n v="0"/>
    <x v="0"/>
    <n v="0"/>
    <n v="0"/>
    <n v="0"/>
    <n v="0"/>
    <m/>
    <n v="62.1"/>
  </r>
  <r>
    <s v="USR-100945"/>
    <d v="2025-05-06T00:00:00"/>
    <x v="1"/>
    <s v="West"/>
    <s v="Mobile"/>
    <s v="Organic"/>
    <s v="Basic"/>
    <n v="1"/>
    <n v="0"/>
    <n v="0"/>
    <x v="0"/>
    <n v="0"/>
    <n v="0"/>
    <n v="0"/>
    <n v="0"/>
    <m/>
    <n v="49.7"/>
  </r>
  <r>
    <s v="USR-100946"/>
    <d v="2025-01-31T00:00:00"/>
    <x v="1"/>
    <s v="South"/>
    <s v="Mobile"/>
    <s v="Organic"/>
    <s v="Free"/>
    <n v="1"/>
    <n v="0"/>
    <n v="0"/>
    <x v="0"/>
    <n v="0"/>
    <n v="3"/>
    <n v="1"/>
    <n v="0"/>
    <m/>
    <n v="71.099999999999994"/>
  </r>
  <r>
    <s v="USR-100947"/>
    <d v="2025-02-18T00:00:00"/>
    <x v="1"/>
    <s v="North"/>
    <s v="Mobile"/>
    <s v="Social"/>
    <s v="Basic"/>
    <n v="0"/>
    <n v="0"/>
    <n v="0"/>
    <x v="0"/>
    <n v="0"/>
    <n v="0"/>
    <n v="0"/>
    <n v="0"/>
    <m/>
    <n v="70.8"/>
  </r>
  <r>
    <s v="USR-100948"/>
    <d v="2025-04-23T00:00:00"/>
    <x v="1"/>
    <s v="East"/>
    <s v="Mobile"/>
    <s v="Paid Search"/>
    <s v="Free"/>
    <n v="1"/>
    <n v="1"/>
    <n v="1"/>
    <x v="1"/>
    <n v="301.98"/>
    <n v="0"/>
    <n v="0"/>
    <n v="0"/>
    <n v="10"/>
    <n v="52.2"/>
  </r>
  <r>
    <s v="USR-100949"/>
    <d v="2025-02-06T00:00:00"/>
    <x v="1"/>
    <s v="North"/>
    <s v="Mobile"/>
    <s v="Organic"/>
    <s v="Free"/>
    <n v="1"/>
    <n v="1"/>
    <n v="1"/>
    <x v="0"/>
    <n v="0"/>
    <n v="0"/>
    <n v="0"/>
    <n v="0"/>
    <m/>
    <n v="73"/>
  </r>
  <r>
    <s v="USR-100950"/>
    <d v="2025-04-26T00:00:00"/>
    <x v="1"/>
    <s v="South"/>
    <s v="Desktop"/>
    <s v="Paid Search"/>
    <s v="Free"/>
    <n v="0"/>
    <n v="0"/>
    <n v="0"/>
    <x v="0"/>
    <n v="0"/>
    <n v="0"/>
    <n v="0"/>
    <n v="0"/>
    <m/>
    <n v="78.2"/>
  </r>
  <r>
    <s v="USR-100951"/>
    <d v="2025-03-30T00:00:00"/>
    <x v="1"/>
    <s v="West"/>
    <s v="Desktop"/>
    <s v="Paid Search"/>
    <s v="Basic"/>
    <n v="1"/>
    <n v="0"/>
    <n v="0"/>
    <x v="0"/>
    <n v="0"/>
    <n v="0"/>
    <n v="0"/>
    <n v="0"/>
    <m/>
    <n v="68.8"/>
  </r>
  <r>
    <s v="USR-100952"/>
    <d v="2025-04-13T00:00:00"/>
    <x v="1"/>
    <s v="West"/>
    <s v="Mobile"/>
    <m/>
    <s v="Premium"/>
    <n v="1"/>
    <n v="0"/>
    <n v="0"/>
    <x v="0"/>
    <n v="0"/>
    <n v="0"/>
    <n v="0"/>
    <n v="0"/>
    <m/>
    <n v="57.1"/>
  </r>
  <r>
    <s v="USR-100953"/>
    <d v="2025-04-04T00:00:00"/>
    <x v="1"/>
    <s v="East"/>
    <s v="Desktop"/>
    <s v="Organic"/>
    <s v="Premium"/>
    <n v="0"/>
    <n v="0"/>
    <n v="0"/>
    <x v="0"/>
    <n v="0"/>
    <n v="1"/>
    <n v="1"/>
    <n v="0"/>
    <m/>
    <n v="74.599999999999994"/>
  </r>
  <r>
    <s v="USR-100954"/>
    <d v="2025-04-03T00:00:00"/>
    <x v="1"/>
    <s v="North"/>
    <s v="Desktop"/>
    <s v="Referral"/>
    <s v="Free"/>
    <n v="1"/>
    <n v="0"/>
    <n v="0"/>
    <x v="0"/>
    <n v="0"/>
    <n v="1"/>
    <n v="1"/>
    <n v="0"/>
    <m/>
    <n v="64.099999999999994"/>
  </r>
  <r>
    <s v="USR-100955"/>
    <d v="2025-03-14T00:00:00"/>
    <x v="1"/>
    <s v="West"/>
    <s v="Mobile"/>
    <s v="Paid Search"/>
    <s v="Premium"/>
    <n v="1"/>
    <n v="0"/>
    <n v="0"/>
    <x v="0"/>
    <n v="0"/>
    <n v="0"/>
    <n v="0"/>
    <n v="0"/>
    <m/>
    <n v="67.3"/>
  </r>
  <r>
    <s v="USR-100956"/>
    <d v="2025-01-14T00:00:00"/>
    <x v="1"/>
    <s v="West"/>
    <s v="Mobile"/>
    <s v="Referral"/>
    <s v="Free"/>
    <n v="0"/>
    <n v="0"/>
    <n v="0"/>
    <x v="0"/>
    <n v="0"/>
    <n v="2"/>
    <n v="1"/>
    <n v="0"/>
    <m/>
    <n v="41"/>
  </r>
  <r>
    <s v="USR-100957"/>
    <d v="2025-05-05T00:00:00"/>
    <x v="1"/>
    <s v="West"/>
    <s v="Mobile"/>
    <s v="Paid Search"/>
    <s v="Free"/>
    <n v="0"/>
    <n v="0"/>
    <n v="0"/>
    <x v="0"/>
    <n v="0"/>
    <n v="0"/>
    <n v="0"/>
    <n v="0"/>
    <m/>
    <n v="48.1"/>
  </r>
  <r>
    <s v="USR-100958"/>
    <d v="2025-05-02T00:00:00"/>
    <x v="1"/>
    <s v="West"/>
    <s v="Desktop"/>
    <s v="Social"/>
    <s v="Free"/>
    <n v="0"/>
    <n v="0"/>
    <n v="0"/>
    <x v="0"/>
    <n v="0"/>
    <n v="1"/>
    <n v="1"/>
    <n v="0"/>
    <m/>
    <n v="60.8"/>
  </r>
  <r>
    <s v="USR-100959"/>
    <d v="2025-05-21T00:00:00"/>
    <x v="1"/>
    <s v="East"/>
    <s v="Mobile"/>
    <s v="Organic"/>
    <s v="Free"/>
    <n v="1"/>
    <n v="0"/>
    <n v="0"/>
    <x v="0"/>
    <n v="0"/>
    <n v="0"/>
    <n v="0"/>
    <n v="0"/>
    <m/>
    <n v="63.1"/>
  </r>
  <r>
    <s v="USR-100960"/>
    <d v="2025-05-16T00:00:00"/>
    <x v="1"/>
    <s v="North"/>
    <s v="Mobile"/>
    <s v="Referral"/>
    <s v="Premium"/>
    <n v="1"/>
    <n v="0"/>
    <n v="0"/>
    <x v="0"/>
    <n v="0"/>
    <n v="2"/>
    <n v="1"/>
    <n v="0"/>
    <m/>
    <n v="49.7"/>
  </r>
  <r>
    <s v="USR-100961"/>
    <d v="2025-05-24T00:00:00"/>
    <x v="1"/>
    <s v="East"/>
    <s v="Desktop"/>
    <s v="Organic"/>
    <s v="Premium"/>
    <n v="1"/>
    <n v="1"/>
    <n v="1"/>
    <x v="0"/>
    <n v="0"/>
    <n v="1"/>
    <n v="1"/>
    <n v="0"/>
    <m/>
    <n v="83.4"/>
  </r>
  <r>
    <s v="USR-100962"/>
    <d v="2025-03-18T00:00:00"/>
    <x v="1"/>
    <s v="East"/>
    <s v="Mobile"/>
    <s v="Organic"/>
    <s v="Basic"/>
    <n v="1"/>
    <n v="0"/>
    <n v="0"/>
    <x v="0"/>
    <n v="0"/>
    <n v="0"/>
    <n v="0"/>
    <n v="0"/>
    <m/>
    <n v="75.900000000000006"/>
  </r>
  <r>
    <s v="USR-100963"/>
    <d v="2025-01-11T00:00:00"/>
    <x v="1"/>
    <s v="East"/>
    <s v="Desktop"/>
    <s v="Paid Search"/>
    <s v="Free"/>
    <n v="0"/>
    <n v="0"/>
    <n v="0"/>
    <x v="0"/>
    <n v="0"/>
    <n v="1"/>
    <n v="1"/>
    <n v="0"/>
    <m/>
    <n v="71.8"/>
  </r>
  <r>
    <s v="USR-100964"/>
    <d v="2025-02-09T00:00:00"/>
    <x v="1"/>
    <s v="South"/>
    <s v="Mobile"/>
    <s v="Organic"/>
    <s v="Basic"/>
    <n v="0"/>
    <n v="0"/>
    <n v="0"/>
    <x v="0"/>
    <n v="0"/>
    <n v="0"/>
    <n v="0"/>
    <n v="0"/>
    <m/>
    <n v="37.9"/>
  </r>
  <r>
    <s v="USR-100965"/>
    <d v="2025-03-01T00:00:00"/>
    <x v="1"/>
    <s v="North"/>
    <s v="Desktop"/>
    <s v="Social"/>
    <s v="Free"/>
    <n v="1"/>
    <n v="0"/>
    <n v="0"/>
    <x v="0"/>
    <n v="0"/>
    <n v="0"/>
    <n v="0"/>
    <n v="0"/>
    <m/>
    <n v="59.8"/>
  </r>
  <r>
    <s v="USR-100966"/>
    <d v="2025-05-07T00:00:00"/>
    <x v="1"/>
    <s v="North"/>
    <s v="Mobile"/>
    <s v="Organic"/>
    <s v="Basic"/>
    <n v="0"/>
    <n v="0"/>
    <n v="0"/>
    <x v="0"/>
    <n v="0"/>
    <n v="0"/>
    <n v="0"/>
    <n v="0"/>
    <m/>
    <n v="66.900000000000006"/>
  </r>
  <r>
    <s v="USR-100967"/>
    <d v="2025-02-19T00:00:00"/>
    <x v="1"/>
    <s v="South"/>
    <s v="Desktop"/>
    <m/>
    <s v="Free"/>
    <n v="1"/>
    <n v="0"/>
    <n v="0"/>
    <x v="0"/>
    <n v="0"/>
    <n v="0"/>
    <n v="0"/>
    <n v="0"/>
    <m/>
    <n v="59"/>
  </r>
  <r>
    <s v="USR-100968"/>
    <d v="2025-02-26T00:00:00"/>
    <x v="1"/>
    <s v="West"/>
    <s v="Mobile"/>
    <s v="Organic"/>
    <s v="Premium"/>
    <n v="1"/>
    <n v="0"/>
    <n v="0"/>
    <x v="0"/>
    <n v="0"/>
    <n v="0"/>
    <n v="0"/>
    <n v="0"/>
    <m/>
    <n v="80.099999999999994"/>
  </r>
  <r>
    <s v="USR-100969"/>
    <d v="2025-03-23T00:00:00"/>
    <x v="1"/>
    <s v="South"/>
    <s v="Mobile"/>
    <s v="Social"/>
    <s v="Free"/>
    <n v="0"/>
    <n v="0"/>
    <n v="0"/>
    <x v="0"/>
    <n v="0"/>
    <n v="0"/>
    <n v="0"/>
    <n v="0"/>
    <m/>
    <n v="64.3"/>
  </r>
  <r>
    <s v="USR-100970"/>
    <d v="2025-04-25T00:00:00"/>
    <x v="1"/>
    <s v="South"/>
    <s v="Desktop"/>
    <s v="Social"/>
    <s v="Free"/>
    <n v="0"/>
    <n v="0"/>
    <n v="0"/>
    <x v="0"/>
    <n v="0"/>
    <n v="1"/>
    <n v="1"/>
    <n v="0"/>
    <m/>
    <n v="57.4"/>
  </r>
  <r>
    <s v="USR-100971"/>
    <d v="2025-05-10T00:00:00"/>
    <x v="1"/>
    <s v="North"/>
    <s v="Desktop"/>
    <s v="Social"/>
    <s v="Free"/>
    <n v="1"/>
    <n v="1"/>
    <n v="1"/>
    <x v="0"/>
    <n v="0"/>
    <n v="0"/>
    <n v="0"/>
    <n v="0"/>
    <m/>
    <n v="83.6"/>
  </r>
  <r>
    <s v="USR-100972"/>
    <d v="2025-04-22T00:00:00"/>
    <x v="1"/>
    <s v="East"/>
    <s v="Mobile"/>
    <s v="Paid Search"/>
    <s v="Premium"/>
    <n v="0"/>
    <n v="0"/>
    <n v="0"/>
    <x v="0"/>
    <n v="0"/>
    <n v="0"/>
    <n v="0"/>
    <n v="0"/>
    <m/>
    <n v="45.8"/>
  </r>
  <r>
    <s v="USR-100973"/>
    <d v="2025-02-18T00:00:00"/>
    <x v="1"/>
    <s v="West"/>
    <s v="Mobile"/>
    <s v="Referral"/>
    <s v="Basic"/>
    <n v="1"/>
    <n v="1"/>
    <n v="1"/>
    <x v="0"/>
    <n v="0"/>
    <n v="0"/>
    <n v="0"/>
    <n v="0"/>
    <m/>
    <n v="64.3"/>
  </r>
  <r>
    <s v="USR-100974"/>
    <d v="2025-01-26T00:00:00"/>
    <x v="1"/>
    <s v="South"/>
    <s v="Mobile"/>
    <s v="Paid Search"/>
    <s v="Premium"/>
    <n v="1"/>
    <n v="1"/>
    <n v="1"/>
    <x v="0"/>
    <n v="0"/>
    <n v="0"/>
    <n v="0"/>
    <n v="0"/>
    <m/>
    <n v="80.5"/>
  </r>
  <r>
    <s v="USR-100975"/>
    <d v="2025-04-28T00:00:00"/>
    <x v="1"/>
    <s v="North"/>
    <s v="Mobile"/>
    <s v="Organic"/>
    <s v="Free"/>
    <n v="1"/>
    <n v="0"/>
    <n v="0"/>
    <x v="0"/>
    <n v="0"/>
    <n v="0"/>
    <n v="0"/>
    <n v="0"/>
    <m/>
    <n v="46.3"/>
  </r>
  <r>
    <s v="USR-100976"/>
    <d v="2025-04-02T00:00:00"/>
    <x v="1"/>
    <s v="South"/>
    <s v="Desktop"/>
    <s v="Email"/>
    <s v="Basic"/>
    <n v="1"/>
    <n v="0"/>
    <n v="0"/>
    <x v="0"/>
    <n v="0"/>
    <n v="0"/>
    <n v="0"/>
    <n v="0"/>
    <m/>
    <n v="71.599999999999994"/>
  </r>
  <r>
    <s v="USR-100977"/>
    <d v="2025-04-12T00:00:00"/>
    <x v="1"/>
    <s v="South"/>
    <s v="Desktop"/>
    <s v="Email"/>
    <s v="Premium"/>
    <n v="1"/>
    <n v="1"/>
    <n v="0"/>
    <x v="0"/>
    <n v="0"/>
    <n v="0"/>
    <n v="0"/>
    <n v="0"/>
    <m/>
    <n v="57.8"/>
  </r>
  <r>
    <s v="USR-100978"/>
    <d v="2025-01-03T00:00:00"/>
    <x v="1"/>
    <s v="West"/>
    <s v="Desktop"/>
    <s v="Email"/>
    <s v="Basic"/>
    <n v="1"/>
    <n v="1"/>
    <n v="1"/>
    <x v="0"/>
    <n v="0"/>
    <n v="1"/>
    <n v="1"/>
    <n v="0"/>
    <m/>
    <n v="57.8"/>
  </r>
  <r>
    <s v="USR-100979"/>
    <d v="2025-05-08T00:00:00"/>
    <x v="1"/>
    <s v="North"/>
    <s v="Mobile"/>
    <s v="Paid Search"/>
    <s v="Free"/>
    <n v="1"/>
    <n v="0"/>
    <n v="0"/>
    <x v="0"/>
    <n v="0"/>
    <n v="0"/>
    <n v="0"/>
    <n v="0"/>
    <m/>
    <n v="38.299999999999997"/>
  </r>
  <r>
    <s v="USR-100980"/>
    <d v="2025-02-20T00:00:00"/>
    <x v="1"/>
    <s v="North"/>
    <s v="Mobile"/>
    <s v="Referral"/>
    <s v="Premium"/>
    <n v="1"/>
    <n v="0"/>
    <n v="0"/>
    <x v="0"/>
    <n v="0"/>
    <n v="1"/>
    <n v="1"/>
    <n v="0"/>
    <m/>
    <n v="66.099999999999994"/>
  </r>
  <r>
    <s v="USR-100981"/>
    <d v="2025-03-17T00:00:00"/>
    <x v="1"/>
    <s v="North"/>
    <s v="Desktop"/>
    <s v="Paid Search"/>
    <s v="Premium"/>
    <n v="1"/>
    <n v="0"/>
    <n v="0"/>
    <x v="0"/>
    <n v="0"/>
    <n v="0"/>
    <n v="0"/>
    <n v="0"/>
    <m/>
    <n v="66.5"/>
  </r>
  <r>
    <s v="USR-100982"/>
    <d v="2025-04-10T00:00:00"/>
    <x v="1"/>
    <s v="South"/>
    <s v="Desktop"/>
    <s v="Email"/>
    <s v="Free"/>
    <n v="1"/>
    <n v="0"/>
    <n v="0"/>
    <x v="0"/>
    <n v="0"/>
    <n v="3"/>
    <n v="1"/>
    <n v="0"/>
    <m/>
    <n v="51.5"/>
  </r>
  <r>
    <s v="USR-100983"/>
    <d v="2025-05-08T00:00:00"/>
    <x v="1"/>
    <s v="North"/>
    <s v="Desktop"/>
    <s v="Referral"/>
    <s v="Free"/>
    <n v="1"/>
    <n v="0"/>
    <n v="0"/>
    <x v="0"/>
    <n v="0"/>
    <n v="0"/>
    <n v="0"/>
    <n v="0"/>
    <m/>
    <n v="59.9"/>
  </r>
  <r>
    <s v="USR-100984"/>
    <d v="2025-04-19T00:00:00"/>
    <x v="1"/>
    <s v="West"/>
    <s v="Mobile"/>
    <s v="Paid Search"/>
    <s v="Basic"/>
    <n v="1"/>
    <n v="0"/>
    <n v="0"/>
    <x v="0"/>
    <n v="0"/>
    <n v="0"/>
    <n v="0"/>
    <n v="0"/>
    <m/>
    <n v="58.8"/>
  </r>
  <r>
    <s v="USR-100985"/>
    <d v="2025-01-01T00:00:00"/>
    <x v="1"/>
    <s v="South"/>
    <s v="Tablet"/>
    <s v="Paid Search"/>
    <s v="Basic"/>
    <n v="1"/>
    <n v="0"/>
    <n v="0"/>
    <x v="0"/>
    <n v="0"/>
    <n v="0"/>
    <n v="0"/>
    <n v="0"/>
    <m/>
    <n v="69.599999999999994"/>
  </r>
  <r>
    <s v="USR-100986"/>
    <d v="2025-03-10T00:00:00"/>
    <x v="1"/>
    <s v="East"/>
    <s v="Mobile"/>
    <s v="Paid Search"/>
    <s v="Free"/>
    <n v="1"/>
    <n v="0"/>
    <n v="0"/>
    <x v="0"/>
    <n v="0"/>
    <n v="0"/>
    <n v="0"/>
    <n v="0"/>
    <m/>
    <n v="77.5"/>
  </r>
  <r>
    <s v="USR-100987"/>
    <d v="2025-03-10T00:00:00"/>
    <x v="1"/>
    <s v="East"/>
    <s v="Tablet"/>
    <s v="Social"/>
    <s v="Premium"/>
    <n v="0"/>
    <n v="0"/>
    <n v="0"/>
    <x v="0"/>
    <n v="0"/>
    <n v="2"/>
    <n v="1"/>
    <n v="0"/>
    <m/>
    <n v="57.5"/>
  </r>
  <r>
    <s v="USR-100988"/>
    <d v="2025-04-19T00:00:00"/>
    <x v="1"/>
    <s v="West"/>
    <s v="Tablet"/>
    <s v="Email"/>
    <s v="Basic"/>
    <n v="1"/>
    <n v="0"/>
    <n v="0"/>
    <x v="0"/>
    <n v="0"/>
    <n v="0"/>
    <n v="0"/>
    <n v="0"/>
    <m/>
    <n v="64.2"/>
  </r>
  <r>
    <s v="USR-100989"/>
    <d v="2025-04-11T00:00:00"/>
    <x v="1"/>
    <s v="West"/>
    <s v="Desktop"/>
    <s v="Organic"/>
    <s v="Free"/>
    <n v="0"/>
    <n v="0"/>
    <n v="0"/>
    <x v="0"/>
    <n v="0"/>
    <n v="0"/>
    <n v="0"/>
    <n v="0"/>
    <m/>
    <n v="60"/>
  </r>
  <r>
    <s v="USR-100990"/>
    <d v="2025-04-10T00:00:00"/>
    <x v="1"/>
    <s v="East"/>
    <s v="Mobile"/>
    <s v="Organic"/>
    <s v="Basic"/>
    <n v="1"/>
    <n v="0"/>
    <n v="0"/>
    <x v="0"/>
    <n v="0"/>
    <n v="1"/>
    <n v="1"/>
    <n v="0"/>
    <m/>
    <n v="43.7"/>
  </r>
  <r>
    <s v="USR-100991"/>
    <d v="2025-01-13T00:00:00"/>
    <x v="1"/>
    <s v="West"/>
    <s v="Desktop"/>
    <s v="Social"/>
    <s v="Free"/>
    <n v="1"/>
    <n v="0"/>
    <n v="0"/>
    <x v="0"/>
    <n v="0"/>
    <n v="0"/>
    <n v="0"/>
    <n v="0"/>
    <m/>
    <n v="64.900000000000006"/>
  </r>
  <r>
    <s v="USR-100992"/>
    <d v="2025-03-28T00:00:00"/>
    <x v="1"/>
    <s v="South"/>
    <s v="Desktop"/>
    <s v="Organic"/>
    <s v="Free"/>
    <n v="1"/>
    <n v="1"/>
    <n v="0"/>
    <x v="0"/>
    <n v="0"/>
    <n v="0"/>
    <n v="0"/>
    <n v="0"/>
    <m/>
    <n v="45.5"/>
  </r>
  <r>
    <s v="USR-100993"/>
    <d v="2025-01-29T00:00:00"/>
    <x v="1"/>
    <s v="East"/>
    <s v="Mobile"/>
    <s v="Paid Search"/>
    <s v="Free"/>
    <n v="1"/>
    <n v="1"/>
    <n v="1"/>
    <x v="1"/>
    <n v="1772.97"/>
    <n v="0"/>
    <n v="0"/>
    <n v="0"/>
    <n v="8"/>
    <n v="61.2"/>
  </r>
  <r>
    <s v="USR-100994"/>
    <d v="2025-03-27T00:00:00"/>
    <x v="1"/>
    <s v="South"/>
    <s v="Mobile"/>
    <s v="Referral"/>
    <s v="Free"/>
    <n v="0"/>
    <n v="0"/>
    <n v="0"/>
    <x v="0"/>
    <n v="0"/>
    <n v="0"/>
    <n v="0"/>
    <n v="0"/>
    <m/>
    <n v="87.8"/>
  </r>
  <r>
    <s v="USR-100995"/>
    <d v="2025-03-20T00:00:00"/>
    <x v="1"/>
    <s v="East"/>
    <s v="Tablet"/>
    <s v="Social"/>
    <s v="Free"/>
    <n v="0"/>
    <n v="0"/>
    <n v="0"/>
    <x v="0"/>
    <n v="0"/>
    <n v="0"/>
    <n v="0"/>
    <n v="0"/>
    <m/>
    <n v="86.4"/>
  </r>
  <r>
    <s v="USR-100996"/>
    <d v="2025-01-09T00:00:00"/>
    <x v="1"/>
    <s v="North"/>
    <s v="Mobile"/>
    <s v="Paid Search"/>
    <s v="Basic"/>
    <n v="0"/>
    <n v="0"/>
    <n v="0"/>
    <x v="0"/>
    <n v="0"/>
    <n v="1"/>
    <n v="1"/>
    <n v="0"/>
    <m/>
    <n v="71.400000000000006"/>
  </r>
  <r>
    <s v="USR-100997"/>
    <d v="2025-04-25T00:00:00"/>
    <x v="1"/>
    <s v="West"/>
    <s v="Mobile"/>
    <s v="Social"/>
    <s v="Free"/>
    <n v="1"/>
    <n v="1"/>
    <n v="1"/>
    <x v="1"/>
    <n v="218.66"/>
    <n v="0"/>
    <n v="0"/>
    <n v="1"/>
    <n v="8"/>
    <n v="72.2"/>
  </r>
  <r>
    <s v="USR-100998"/>
    <d v="2025-04-11T00:00:00"/>
    <x v="1"/>
    <s v="South"/>
    <s v="Desktop"/>
    <s v="Social"/>
    <s v="Free"/>
    <n v="1"/>
    <n v="0"/>
    <n v="0"/>
    <x v="0"/>
    <n v="0"/>
    <n v="0"/>
    <n v="0"/>
    <n v="0"/>
    <m/>
    <n v="51.9"/>
  </r>
  <r>
    <s v="USR-100999"/>
    <d v="2025-02-05T00:00:00"/>
    <x v="1"/>
    <s v="East"/>
    <s v="Mobile"/>
    <s v="Social"/>
    <s v="Basic"/>
    <n v="1"/>
    <n v="1"/>
    <n v="1"/>
    <x v="0"/>
    <n v="0"/>
    <n v="0"/>
    <n v="0"/>
    <n v="0"/>
    <m/>
    <n v="70.3"/>
  </r>
  <r>
    <s v="USR-101000"/>
    <d v="2025-03-28T00:00:00"/>
    <x v="1"/>
    <s v="South"/>
    <s v="Mobile"/>
    <s v="Social"/>
    <s v="Premium"/>
    <n v="1"/>
    <n v="0"/>
    <n v="0"/>
    <x v="0"/>
    <n v="0"/>
    <n v="1"/>
    <n v="1"/>
    <n v="0"/>
    <m/>
    <n v="49.2"/>
  </r>
  <r>
    <s v="USR-101001"/>
    <d v="2025-05-14T00:00:00"/>
    <x v="1"/>
    <s v="South"/>
    <s v="Mobile"/>
    <s v="Referral"/>
    <s v="Free"/>
    <n v="0"/>
    <n v="0"/>
    <n v="0"/>
    <x v="0"/>
    <n v="0"/>
    <n v="0"/>
    <n v="0"/>
    <n v="0"/>
    <m/>
    <n v="52.2"/>
  </r>
  <r>
    <s v="USR-101002"/>
    <d v="2025-03-10T00:00:00"/>
    <x v="1"/>
    <s v="East"/>
    <s v="Mobile"/>
    <s v="Paid Search"/>
    <s v="Basic"/>
    <n v="0"/>
    <n v="0"/>
    <n v="0"/>
    <x v="0"/>
    <n v="0"/>
    <n v="1"/>
    <n v="1"/>
    <n v="0"/>
    <m/>
    <n v="62.6"/>
  </r>
  <r>
    <s v="USR-101003"/>
    <d v="2025-04-09T00:00:00"/>
    <x v="1"/>
    <s v="East"/>
    <s v="Desktop"/>
    <s v="Paid Search"/>
    <s v="Free"/>
    <n v="1"/>
    <n v="1"/>
    <n v="0"/>
    <x v="0"/>
    <n v="0"/>
    <n v="0"/>
    <n v="0"/>
    <n v="0"/>
    <m/>
    <n v="100"/>
  </r>
  <r>
    <s v="USR-101004"/>
    <d v="2025-02-13T00:00:00"/>
    <x v="1"/>
    <s v="North"/>
    <s v="Mobile"/>
    <s v="Referral"/>
    <s v="Basic"/>
    <n v="1"/>
    <n v="1"/>
    <n v="1"/>
    <x v="0"/>
    <n v="0"/>
    <n v="2"/>
    <n v="1"/>
    <n v="0"/>
    <m/>
    <n v="45.9"/>
  </r>
  <r>
    <s v="USR-101005"/>
    <d v="2025-05-03T00:00:00"/>
    <x v="1"/>
    <s v="East"/>
    <s v="Mobile"/>
    <s v="Email"/>
    <s v="Free"/>
    <n v="1"/>
    <n v="1"/>
    <n v="1"/>
    <x v="0"/>
    <n v="0"/>
    <n v="0"/>
    <n v="0"/>
    <n v="0"/>
    <m/>
    <n v="80.7"/>
  </r>
  <r>
    <s v="USR-101006"/>
    <d v="2025-04-16T00:00:00"/>
    <x v="1"/>
    <s v="South"/>
    <s v="Desktop"/>
    <s v="Referral"/>
    <s v="Premium"/>
    <n v="1"/>
    <n v="0"/>
    <n v="0"/>
    <x v="0"/>
    <n v="0"/>
    <n v="0"/>
    <n v="0"/>
    <n v="0"/>
    <m/>
    <n v="51.9"/>
  </r>
  <r>
    <s v="USR-101007"/>
    <d v="2025-04-30T00:00:00"/>
    <x v="1"/>
    <s v="North"/>
    <s v="Mobile"/>
    <s v="Paid Search"/>
    <s v="Premium"/>
    <n v="1"/>
    <n v="0"/>
    <n v="0"/>
    <x v="0"/>
    <n v="0"/>
    <n v="0"/>
    <n v="0"/>
    <n v="0"/>
    <m/>
    <n v="68.900000000000006"/>
  </r>
  <r>
    <s v="USR-101008"/>
    <d v="2025-02-18T00:00:00"/>
    <x v="1"/>
    <s v="West"/>
    <s v="Desktop"/>
    <s v="Organic"/>
    <s v="Free"/>
    <n v="1"/>
    <n v="0"/>
    <n v="0"/>
    <x v="0"/>
    <n v="0"/>
    <n v="0"/>
    <n v="0"/>
    <n v="0"/>
    <m/>
    <n v="66"/>
  </r>
  <r>
    <s v="USR-101009"/>
    <d v="2025-05-22T00:00:00"/>
    <x v="1"/>
    <s v="West"/>
    <s v="Desktop"/>
    <s v="Referral"/>
    <s v="Basic"/>
    <n v="0"/>
    <n v="0"/>
    <n v="0"/>
    <x v="0"/>
    <n v="0"/>
    <n v="0"/>
    <n v="0"/>
    <n v="0"/>
    <m/>
    <n v="63.1"/>
  </r>
  <r>
    <s v="USR-101010"/>
    <d v="2025-05-21T00:00:00"/>
    <x v="1"/>
    <s v="South"/>
    <s v="Desktop"/>
    <s v="Organic"/>
    <s v="Free"/>
    <n v="0"/>
    <n v="0"/>
    <n v="0"/>
    <x v="0"/>
    <n v="0"/>
    <n v="0"/>
    <n v="0"/>
    <n v="0"/>
    <m/>
    <n v="56"/>
  </r>
  <r>
    <s v="USR-101011"/>
    <d v="2025-04-10T00:00:00"/>
    <x v="1"/>
    <s v="East"/>
    <s v="Desktop"/>
    <s v="Organic"/>
    <s v="Free"/>
    <n v="1"/>
    <n v="0"/>
    <n v="0"/>
    <x v="0"/>
    <n v="0"/>
    <n v="1"/>
    <n v="1"/>
    <n v="0"/>
    <m/>
    <n v="65.7"/>
  </r>
  <r>
    <s v="USR-101012"/>
    <d v="2025-01-07T00:00:00"/>
    <x v="1"/>
    <s v="North"/>
    <s v="Desktop"/>
    <s v="Organic"/>
    <s v="Premium"/>
    <n v="1"/>
    <n v="1"/>
    <n v="1"/>
    <x v="1"/>
    <n v="1938.31"/>
    <n v="1"/>
    <n v="1"/>
    <n v="0"/>
    <n v="9"/>
    <n v="60.9"/>
  </r>
  <r>
    <s v="USR-101013"/>
    <d v="2025-02-03T00:00:00"/>
    <x v="1"/>
    <s v="South"/>
    <s v="Desktop"/>
    <s v="Social"/>
    <s v="Free"/>
    <n v="0"/>
    <n v="0"/>
    <n v="0"/>
    <x v="0"/>
    <n v="0"/>
    <n v="0"/>
    <n v="0"/>
    <n v="0"/>
    <m/>
    <n v="45.5"/>
  </r>
  <r>
    <s v="USR-101014"/>
    <d v="2025-05-18T00:00:00"/>
    <x v="1"/>
    <s v="North"/>
    <s v="Mobile"/>
    <s v="Paid Search"/>
    <s v="Free"/>
    <n v="1"/>
    <n v="0"/>
    <n v="0"/>
    <x v="0"/>
    <n v="0"/>
    <n v="0"/>
    <n v="0"/>
    <n v="0"/>
    <m/>
    <n v="50"/>
  </r>
  <r>
    <s v="USR-101015"/>
    <d v="2025-01-31T00:00:00"/>
    <x v="1"/>
    <s v="North"/>
    <s v="Mobile"/>
    <s v="Referral"/>
    <s v="Free"/>
    <n v="1"/>
    <n v="0"/>
    <n v="0"/>
    <x v="0"/>
    <n v="0"/>
    <n v="0"/>
    <n v="0"/>
    <n v="0"/>
    <m/>
    <n v="72.099999999999994"/>
  </r>
  <r>
    <s v="USR-101016"/>
    <d v="2025-01-16T00:00:00"/>
    <x v="1"/>
    <s v="South"/>
    <s v="Desktop"/>
    <s v="Organic"/>
    <s v="Basic"/>
    <n v="1"/>
    <n v="0"/>
    <n v="0"/>
    <x v="0"/>
    <n v="0"/>
    <n v="0"/>
    <n v="0"/>
    <n v="0"/>
    <m/>
    <n v="76.3"/>
  </r>
  <r>
    <s v="USR-101017"/>
    <d v="2025-05-14T00:00:00"/>
    <x v="1"/>
    <s v="East"/>
    <s v="Mobile"/>
    <s v="Paid Search"/>
    <s v="Basic"/>
    <n v="1"/>
    <n v="1"/>
    <n v="0"/>
    <x v="0"/>
    <n v="0"/>
    <n v="1"/>
    <n v="1"/>
    <n v="0"/>
    <m/>
    <n v="54.8"/>
  </r>
  <r>
    <s v="USR-101018"/>
    <d v="2025-04-01T00:00:00"/>
    <x v="1"/>
    <s v="South"/>
    <s v="Mobile"/>
    <m/>
    <s v="Basic"/>
    <n v="1"/>
    <n v="0"/>
    <n v="0"/>
    <x v="0"/>
    <n v="0"/>
    <n v="0"/>
    <n v="0"/>
    <n v="0"/>
    <m/>
    <n v="63.6"/>
  </r>
  <r>
    <s v="USR-101019"/>
    <d v="2025-04-23T00:00:00"/>
    <x v="1"/>
    <s v="South"/>
    <s v="Mobile"/>
    <s v="Organic"/>
    <s v="Free"/>
    <n v="1"/>
    <n v="0"/>
    <n v="0"/>
    <x v="0"/>
    <n v="0"/>
    <n v="0"/>
    <n v="0"/>
    <n v="0"/>
    <m/>
    <n v="68.8"/>
  </r>
  <r>
    <s v="USR-101020"/>
    <d v="2025-03-02T00:00:00"/>
    <x v="1"/>
    <s v="South"/>
    <s v="Desktop"/>
    <s v="Paid Search"/>
    <s v="Basic"/>
    <n v="1"/>
    <n v="0"/>
    <n v="0"/>
    <x v="0"/>
    <n v="0"/>
    <n v="0"/>
    <n v="0"/>
    <n v="0"/>
    <m/>
    <n v="63.2"/>
  </r>
  <r>
    <s v="USR-101021"/>
    <d v="2025-01-02T00:00:00"/>
    <x v="1"/>
    <s v="East"/>
    <s v="Mobile"/>
    <s v="Paid Search"/>
    <s v="Basic"/>
    <n v="0"/>
    <n v="0"/>
    <n v="0"/>
    <x v="0"/>
    <n v="0"/>
    <n v="0"/>
    <n v="0"/>
    <n v="0"/>
    <m/>
    <n v="45"/>
  </r>
  <r>
    <s v="USR-101022"/>
    <d v="2025-05-04T00:00:00"/>
    <x v="1"/>
    <s v="South"/>
    <s v="Mobile"/>
    <s v="Organic"/>
    <s v="Free"/>
    <n v="1"/>
    <n v="0"/>
    <n v="0"/>
    <x v="0"/>
    <n v="0"/>
    <n v="0"/>
    <n v="0"/>
    <n v="0"/>
    <m/>
    <n v="77.400000000000006"/>
  </r>
  <r>
    <s v="USR-101023"/>
    <d v="2025-01-16T00:00:00"/>
    <x v="1"/>
    <s v="East"/>
    <s v="Desktop"/>
    <s v="Paid Search"/>
    <s v="Basic"/>
    <n v="0"/>
    <n v="0"/>
    <n v="0"/>
    <x v="0"/>
    <n v="0"/>
    <n v="0"/>
    <n v="0"/>
    <n v="0"/>
    <m/>
    <n v="53.1"/>
  </r>
  <r>
    <s v="USR-101024"/>
    <d v="2025-02-11T00:00:00"/>
    <x v="1"/>
    <s v="West"/>
    <s v="Tablet"/>
    <s v="Paid Search"/>
    <s v="Premium"/>
    <n v="0"/>
    <n v="0"/>
    <n v="0"/>
    <x v="0"/>
    <n v="0"/>
    <n v="0"/>
    <n v="0"/>
    <n v="0"/>
    <m/>
    <n v="74"/>
  </r>
  <r>
    <s v="USR-101025"/>
    <d v="2025-04-03T00:00:00"/>
    <x v="1"/>
    <s v="North"/>
    <s v="Mobile"/>
    <s v="Social"/>
    <s v="Premium"/>
    <n v="1"/>
    <n v="1"/>
    <n v="1"/>
    <x v="1"/>
    <n v="1906.23"/>
    <n v="0"/>
    <n v="0"/>
    <n v="0"/>
    <n v="4"/>
    <n v="84.6"/>
  </r>
  <r>
    <s v="USR-101026"/>
    <d v="2025-03-26T00:00:00"/>
    <x v="1"/>
    <s v="East"/>
    <s v="Mobile"/>
    <s v="Referral"/>
    <s v="Free"/>
    <n v="1"/>
    <n v="0"/>
    <n v="0"/>
    <x v="0"/>
    <n v="0"/>
    <n v="0"/>
    <n v="0"/>
    <n v="0"/>
    <m/>
    <n v="57"/>
  </r>
  <r>
    <s v="USR-101027"/>
    <d v="2025-05-16T00:00:00"/>
    <x v="1"/>
    <s v="South"/>
    <s v="Mobile"/>
    <s v="Email"/>
    <s v="Premium"/>
    <n v="0"/>
    <n v="0"/>
    <n v="0"/>
    <x v="0"/>
    <n v="0"/>
    <n v="0"/>
    <n v="0"/>
    <n v="0"/>
    <m/>
    <n v="46.3"/>
  </r>
  <r>
    <s v="USR-101028"/>
    <d v="2025-04-20T00:00:00"/>
    <x v="1"/>
    <s v="West"/>
    <s v="Mobile"/>
    <s v="Social"/>
    <s v="Free"/>
    <n v="0"/>
    <n v="0"/>
    <n v="0"/>
    <x v="0"/>
    <n v="0"/>
    <n v="1"/>
    <n v="1"/>
    <n v="0"/>
    <m/>
    <n v="64.400000000000006"/>
  </r>
  <r>
    <s v="USR-101029"/>
    <d v="2025-04-15T00:00:00"/>
    <x v="1"/>
    <s v="West"/>
    <s v="Mobile"/>
    <s v="Paid Search"/>
    <s v="Free"/>
    <n v="1"/>
    <n v="0"/>
    <n v="0"/>
    <x v="0"/>
    <n v="0"/>
    <n v="2"/>
    <n v="1"/>
    <n v="0"/>
    <m/>
    <n v="61.9"/>
  </r>
  <r>
    <s v="USR-101030"/>
    <d v="2025-01-24T00:00:00"/>
    <x v="1"/>
    <s v="North"/>
    <s v="Mobile"/>
    <s v="Organic"/>
    <s v="Premium"/>
    <n v="1"/>
    <n v="1"/>
    <n v="1"/>
    <x v="0"/>
    <n v="0"/>
    <n v="0"/>
    <n v="0"/>
    <n v="0"/>
    <m/>
    <n v="93.7"/>
  </r>
  <r>
    <s v="USR-101031"/>
    <d v="2025-04-11T00:00:00"/>
    <x v="1"/>
    <s v="South"/>
    <s v="Mobile"/>
    <s v="Referral"/>
    <s v="Basic"/>
    <n v="0"/>
    <n v="0"/>
    <n v="0"/>
    <x v="0"/>
    <n v="0"/>
    <n v="0"/>
    <n v="0"/>
    <n v="0"/>
    <m/>
    <n v="61.6"/>
  </r>
  <r>
    <s v="USR-101032"/>
    <d v="2025-05-19T00:00:00"/>
    <x v="1"/>
    <s v="North"/>
    <s v="Mobile"/>
    <s v="Paid Search"/>
    <s v="Free"/>
    <n v="1"/>
    <n v="0"/>
    <n v="0"/>
    <x v="0"/>
    <n v="0"/>
    <n v="0"/>
    <n v="0"/>
    <n v="0"/>
    <m/>
    <n v="72.2"/>
  </r>
  <r>
    <s v="USR-101033"/>
    <d v="2025-01-14T00:00:00"/>
    <x v="1"/>
    <s v="North"/>
    <s v="Mobile"/>
    <s v="Organic"/>
    <s v="Basic"/>
    <n v="0"/>
    <n v="0"/>
    <n v="0"/>
    <x v="0"/>
    <n v="0"/>
    <n v="0"/>
    <n v="0"/>
    <n v="0"/>
    <m/>
    <n v="69.5"/>
  </r>
  <r>
    <s v="USR-101034"/>
    <d v="2025-02-28T00:00:00"/>
    <x v="1"/>
    <s v="East"/>
    <s v="Desktop"/>
    <s v="Organic"/>
    <s v="Basic"/>
    <n v="0"/>
    <n v="0"/>
    <n v="0"/>
    <x v="0"/>
    <n v="0"/>
    <n v="0"/>
    <n v="0"/>
    <n v="0"/>
    <m/>
    <n v="59.7"/>
  </r>
  <r>
    <s v="USR-101035"/>
    <d v="2025-05-18T00:00:00"/>
    <x v="1"/>
    <s v="East"/>
    <s v="Tablet"/>
    <s v="Paid Search"/>
    <s v="Basic"/>
    <n v="1"/>
    <n v="0"/>
    <n v="0"/>
    <x v="0"/>
    <n v="0"/>
    <n v="0"/>
    <n v="0"/>
    <n v="0"/>
    <m/>
    <n v="73.900000000000006"/>
  </r>
  <r>
    <s v="USR-101036"/>
    <d v="2025-01-04T00:00:00"/>
    <x v="1"/>
    <s v="North"/>
    <s v="Mobile"/>
    <s v="Social"/>
    <s v="Free"/>
    <n v="0"/>
    <n v="0"/>
    <n v="0"/>
    <x v="0"/>
    <n v="0"/>
    <n v="0"/>
    <n v="0"/>
    <n v="0"/>
    <m/>
    <n v="41.5"/>
  </r>
  <r>
    <s v="USR-101037"/>
    <d v="2025-01-16T00:00:00"/>
    <x v="1"/>
    <s v="West"/>
    <s v="Mobile"/>
    <s v="Social"/>
    <s v="Premium"/>
    <n v="1"/>
    <n v="0"/>
    <n v="0"/>
    <x v="0"/>
    <n v="0"/>
    <n v="0"/>
    <n v="0"/>
    <n v="0"/>
    <m/>
    <n v="82.8"/>
  </r>
  <r>
    <s v="USR-101038"/>
    <d v="2025-03-14T00:00:00"/>
    <x v="1"/>
    <s v="West"/>
    <s v="Mobile"/>
    <s v="Social"/>
    <s v="Premium"/>
    <n v="1"/>
    <n v="0"/>
    <n v="0"/>
    <x v="0"/>
    <n v="0"/>
    <n v="3"/>
    <n v="1"/>
    <n v="0"/>
    <m/>
    <n v="70.2"/>
  </r>
  <r>
    <s v="USR-101039"/>
    <d v="2025-01-23T00:00:00"/>
    <x v="1"/>
    <s v="East"/>
    <s v="Mobile"/>
    <s v="Paid Search"/>
    <s v="Basic"/>
    <n v="1"/>
    <n v="0"/>
    <n v="0"/>
    <x v="0"/>
    <n v="0"/>
    <n v="1"/>
    <n v="1"/>
    <n v="0"/>
    <m/>
    <n v="69.400000000000006"/>
  </r>
  <r>
    <s v="USR-101040"/>
    <d v="2025-02-03T00:00:00"/>
    <x v="1"/>
    <s v="North"/>
    <s v="Desktop"/>
    <s v="Organic"/>
    <s v="Basic"/>
    <n v="1"/>
    <n v="0"/>
    <n v="0"/>
    <x v="0"/>
    <n v="0"/>
    <n v="0"/>
    <n v="0"/>
    <n v="0"/>
    <m/>
    <n v="60.4"/>
  </r>
  <r>
    <s v="USR-101041"/>
    <d v="2025-05-16T00:00:00"/>
    <x v="1"/>
    <s v="East"/>
    <s v="Mobile"/>
    <s v="Referral"/>
    <s v="Free"/>
    <n v="1"/>
    <n v="0"/>
    <n v="0"/>
    <x v="0"/>
    <n v="0"/>
    <n v="0"/>
    <n v="0"/>
    <n v="0"/>
    <m/>
    <n v="45.7"/>
  </r>
  <r>
    <s v="USR-101042"/>
    <d v="2025-01-11T00:00:00"/>
    <x v="1"/>
    <s v="West"/>
    <s v="Mobile"/>
    <s v="Organic"/>
    <s v="Basic"/>
    <n v="0"/>
    <n v="0"/>
    <n v="0"/>
    <x v="0"/>
    <n v="0"/>
    <n v="1"/>
    <n v="1"/>
    <n v="0"/>
    <m/>
    <n v="42.2"/>
  </r>
  <r>
    <s v="USR-101043"/>
    <d v="2025-05-25T00:00:00"/>
    <x v="1"/>
    <s v="North"/>
    <s v="Desktop"/>
    <s v="Organic"/>
    <s v="Free"/>
    <n v="0"/>
    <n v="0"/>
    <n v="0"/>
    <x v="0"/>
    <n v="0"/>
    <n v="2"/>
    <n v="1"/>
    <n v="0"/>
    <m/>
    <n v="61.9"/>
  </r>
  <r>
    <s v="USR-101044"/>
    <d v="2025-05-08T00:00:00"/>
    <x v="1"/>
    <s v="East"/>
    <s v="Mobile"/>
    <s v="Paid Search"/>
    <s v="Premium"/>
    <n v="0"/>
    <n v="0"/>
    <n v="0"/>
    <x v="0"/>
    <n v="0"/>
    <n v="0"/>
    <n v="0"/>
    <n v="0"/>
    <m/>
    <n v="44.9"/>
  </r>
  <r>
    <s v="USR-101045"/>
    <d v="2025-02-26T00:00:00"/>
    <x v="1"/>
    <s v="East"/>
    <s v="Desktop"/>
    <m/>
    <s v="Basic"/>
    <n v="1"/>
    <n v="0"/>
    <n v="0"/>
    <x v="0"/>
    <n v="0"/>
    <n v="0"/>
    <n v="0"/>
    <n v="0"/>
    <m/>
    <n v="68"/>
  </r>
  <r>
    <s v="USR-101046"/>
    <d v="2025-03-30T00:00:00"/>
    <x v="1"/>
    <s v="North"/>
    <s v="Mobile"/>
    <s v="Paid Search"/>
    <s v="Free"/>
    <n v="1"/>
    <n v="0"/>
    <n v="0"/>
    <x v="0"/>
    <n v="0"/>
    <n v="0"/>
    <n v="0"/>
    <n v="0"/>
    <m/>
    <n v="61"/>
  </r>
  <r>
    <s v="USR-101047"/>
    <d v="2025-04-13T00:00:00"/>
    <x v="1"/>
    <s v="West"/>
    <s v="Mobile"/>
    <s v="Organic"/>
    <s v="Basic"/>
    <n v="1"/>
    <n v="0"/>
    <n v="0"/>
    <x v="0"/>
    <n v="0"/>
    <n v="0"/>
    <n v="0"/>
    <n v="0"/>
    <m/>
    <n v="55"/>
  </r>
  <r>
    <s v="USR-101048"/>
    <d v="2025-02-20T00:00:00"/>
    <x v="1"/>
    <s v="East"/>
    <m/>
    <s v="Paid Search"/>
    <s v="Basic"/>
    <n v="1"/>
    <n v="0"/>
    <n v="0"/>
    <x v="0"/>
    <n v="0"/>
    <n v="0"/>
    <n v="0"/>
    <n v="0"/>
    <m/>
    <n v="63.1"/>
  </r>
  <r>
    <s v="USR-101049"/>
    <d v="2025-04-19T00:00:00"/>
    <x v="1"/>
    <s v="West"/>
    <s v="Desktop"/>
    <s v="Social"/>
    <s v="Free"/>
    <n v="1"/>
    <n v="0"/>
    <n v="0"/>
    <x v="0"/>
    <n v="0"/>
    <n v="0"/>
    <n v="0"/>
    <n v="0"/>
    <m/>
    <n v="75.8"/>
  </r>
  <r>
    <s v="USR-101050"/>
    <d v="2025-03-22T00:00:00"/>
    <x v="1"/>
    <s v="South"/>
    <s v="Mobile"/>
    <s v="Paid Search"/>
    <s v="Free"/>
    <n v="1"/>
    <n v="1"/>
    <n v="0"/>
    <x v="0"/>
    <n v="0"/>
    <n v="1"/>
    <n v="1"/>
    <n v="0"/>
    <m/>
    <n v="43.8"/>
  </r>
  <r>
    <s v="USR-101051"/>
    <d v="2025-02-28T00:00:00"/>
    <x v="1"/>
    <s v="North"/>
    <s v="Mobile"/>
    <s v="Email"/>
    <s v="Basic"/>
    <n v="1"/>
    <n v="1"/>
    <n v="0"/>
    <x v="0"/>
    <n v="0"/>
    <n v="0"/>
    <n v="0"/>
    <n v="0"/>
    <m/>
    <n v="46.8"/>
  </r>
  <r>
    <s v="USR-101052"/>
    <d v="2025-05-24T00:00:00"/>
    <x v="1"/>
    <s v="East"/>
    <s v="Mobile"/>
    <s v="Social"/>
    <s v="Free"/>
    <n v="1"/>
    <n v="1"/>
    <n v="1"/>
    <x v="0"/>
    <n v="0"/>
    <n v="0"/>
    <n v="0"/>
    <n v="0"/>
    <m/>
    <n v="97.4"/>
  </r>
  <r>
    <s v="USR-101053"/>
    <d v="2025-02-03T00:00:00"/>
    <x v="1"/>
    <s v="North"/>
    <s v="Desktop"/>
    <s v="Email"/>
    <s v="Free"/>
    <n v="1"/>
    <n v="1"/>
    <n v="1"/>
    <x v="1"/>
    <n v="268.95999999999998"/>
    <n v="0"/>
    <n v="0"/>
    <n v="0"/>
    <n v="14"/>
    <n v="81"/>
  </r>
  <r>
    <s v="USR-101054"/>
    <d v="2025-01-27T00:00:00"/>
    <x v="1"/>
    <s v="South"/>
    <s v="Mobile"/>
    <s v="Organic"/>
    <s v="Free"/>
    <n v="1"/>
    <n v="0"/>
    <n v="0"/>
    <x v="0"/>
    <n v="0"/>
    <n v="1"/>
    <n v="1"/>
    <n v="0"/>
    <m/>
    <n v="58.9"/>
  </r>
  <r>
    <s v="USR-101055"/>
    <d v="2025-04-17T00:00:00"/>
    <x v="1"/>
    <s v="East"/>
    <s v="Mobile"/>
    <s v="Organic"/>
    <s v="Free"/>
    <n v="1"/>
    <n v="0"/>
    <n v="0"/>
    <x v="0"/>
    <n v="0"/>
    <n v="0"/>
    <n v="0"/>
    <n v="0"/>
    <m/>
    <n v="51.9"/>
  </r>
  <r>
    <s v="USR-101056"/>
    <d v="2025-02-06T00:00:00"/>
    <x v="1"/>
    <s v="West"/>
    <s v="Mobile"/>
    <s v="Social"/>
    <s v="Free"/>
    <n v="1"/>
    <n v="1"/>
    <n v="0"/>
    <x v="0"/>
    <n v="0"/>
    <n v="0"/>
    <n v="0"/>
    <n v="0"/>
    <m/>
    <n v="61.7"/>
  </r>
  <r>
    <s v="USR-101057"/>
    <d v="2025-04-20T00:00:00"/>
    <x v="1"/>
    <s v="South"/>
    <s v="Mobile"/>
    <s v="Paid Search"/>
    <s v="Free"/>
    <n v="1"/>
    <n v="0"/>
    <n v="0"/>
    <x v="0"/>
    <n v="0"/>
    <n v="0"/>
    <n v="0"/>
    <n v="0"/>
    <m/>
    <n v="44.7"/>
  </r>
  <r>
    <s v="USR-101058"/>
    <d v="2025-05-06T00:00:00"/>
    <x v="1"/>
    <s v="North"/>
    <s v="Mobile"/>
    <s v="Paid Search"/>
    <s v="Basic"/>
    <n v="0"/>
    <n v="0"/>
    <n v="0"/>
    <x v="0"/>
    <n v="0"/>
    <n v="0"/>
    <n v="0"/>
    <n v="0"/>
    <m/>
    <n v="63.2"/>
  </r>
  <r>
    <s v="USR-100541"/>
    <d v="2025-05-22T00:00:00"/>
    <x v="0"/>
    <s v="North"/>
    <s v="Mobile"/>
    <s v="Paid Search"/>
    <s v="Basic"/>
    <n v="1"/>
    <n v="1"/>
    <n v="0"/>
    <x v="0"/>
    <n v="0"/>
    <n v="0"/>
    <n v="0"/>
    <n v="0"/>
    <m/>
    <n v="39.9"/>
  </r>
  <r>
    <s v="USR-101060"/>
    <d v="2025-03-02T00:00:00"/>
    <x v="1"/>
    <s v="South"/>
    <s v="Mobile"/>
    <s v="Paid Search"/>
    <s v="Premium"/>
    <n v="1"/>
    <n v="1"/>
    <n v="0"/>
    <x v="0"/>
    <n v="0"/>
    <n v="1"/>
    <n v="1"/>
    <n v="0"/>
    <m/>
    <n v="83.1"/>
  </r>
  <r>
    <s v="USR-101061"/>
    <d v="2025-04-09T00:00:00"/>
    <x v="1"/>
    <s v="West"/>
    <s v="Mobile"/>
    <s v="Social"/>
    <s v="Free"/>
    <n v="0"/>
    <n v="0"/>
    <n v="0"/>
    <x v="0"/>
    <n v="0"/>
    <n v="0"/>
    <n v="0"/>
    <n v="0"/>
    <m/>
    <n v="50.3"/>
  </r>
  <r>
    <s v="USR-101062"/>
    <d v="2025-01-26T00:00:00"/>
    <x v="1"/>
    <s v="East"/>
    <s v="Mobile"/>
    <s v="Paid Search"/>
    <s v="Free"/>
    <n v="1"/>
    <n v="1"/>
    <n v="1"/>
    <x v="1"/>
    <n v="437.09"/>
    <n v="2"/>
    <n v="1"/>
    <n v="1"/>
    <n v="1"/>
    <n v="58.2"/>
  </r>
  <r>
    <s v="USR-101063"/>
    <d v="2025-02-25T00:00:00"/>
    <x v="1"/>
    <s v="South"/>
    <s v="Mobile"/>
    <s v="Paid Search"/>
    <s v="Basic"/>
    <n v="1"/>
    <n v="1"/>
    <n v="1"/>
    <x v="0"/>
    <n v="0"/>
    <n v="0"/>
    <n v="0"/>
    <n v="0"/>
    <m/>
    <n v="53.2"/>
  </r>
  <r>
    <s v="USR-101064"/>
    <d v="2025-01-07T00:00:00"/>
    <x v="1"/>
    <s v="East"/>
    <s v="Mobile"/>
    <s v="Organic"/>
    <s v="Premium"/>
    <n v="0"/>
    <n v="0"/>
    <n v="0"/>
    <x v="0"/>
    <n v="0"/>
    <n v="0"/>
    <n v="0"/>
    <n v="0"/>
    <m/>
    <n v="36.4"/>
  </r>
  <r>
    <s v="USR-101065"/>
    <d v="2025-03-08T00:00:00"/>
    <x v="1"/>
    <s v="South"/>
    <s v="Mobile"/>
    <s v="Social"/>
    <s v="Basic"/>
    <n v="1"/>
    <n v="1"/>
    <n v="1"/>
    <x v="0"/>
    <n v="0"/>
    <n v="0"/>
    <n v="0"/>
    <n v="0"/>
    <m/>
    <n v="72.7"/>
  </r>
  <r>
    <s v="USR-101066"/>
    <d v="2025-05-22T00:00:00"/>
    <x v="1"/>
    <s v="East"/>
    <s v="Mobile"/>
    <s v="Referral"/>
    <s v="Free"/>
    <n v="1"/>
    <n v="0"/>
    <n v="0"/>
    <x v="0"/>
    <n v="0"/>
    <n v="1"/>
    <n v="1"/>
    <n v="0"/>
    <m/>
    <n v="86.7"/>
  </r>
  <r>
    <s v="USR-101067"/>
    <d v="2025-04-18T00:00:00"/>
    <x v="1"/>
    <s v="East"/>
    <s v="Mobile"/>
    <s v="Paid Search"/>
    <s v="Premium"/>
    <n v="1"/>
    <n v="0"/>
    <n v="0"/>
    <x v="0"/>
    <n v="0"/>
    <n v="0"/>
    <n v="0"/>
    <n v="0"/>
    <m/>
    <n v="48.2"/>
  </r>
  <r>
    <s v="USR-101068"/>
    <d v="2025-02-24T00:00:00"/>
    <x v="1"/>
    <s v="West"/>
    <s v="Mobile"/>
    <s v="Referral"/>
    <s v="Basic"/>
    <n v="0"/>
    <n v="0"/>
    <n v="0"/>
    <x v="0"/>
    <n v="0"/>
    <n v="1"/>
    <n v="1"/>
    <n v="0"/>
    <m/>
    <n v="57.6"/>
  </r>
  <r>
    <s v="USR-101069"/>
    <d v="2025-02-11T00:00:00"/>
    <x v="1"/>
    <s v="North"/>
    <s v="Mobile"/>
    <s v="Organic"/>
    <s v="Free"/>
    <n v="1"/>
    <n v="1"/>
    <n v="1"/>
    <x v="0"/>
    <n v="0"/>
    <n v="0"/>
    <n v="0"/>
    <n v="0"/>
    <m/>
    <n v="75.7"/>
  </r>
  <r>
    <s v="USR-101070"/>
    <d v="2025-03-11T00:00:00"/>
    <x v="1"/>
    <s v="West"/>
    <s v="Desktop"/>
    <s v="Paid Search"/>
    <s v="Free"/>
    <n v="1"/>
    <n v="0"/>
    <n v="0"/>
    <x v="0"/>
    <n v="0"/>
    <n v="2"/>
    <n v="1"/>
    <n v="0"/>
    <m/>
    <n v="48.6"/>
  </r>
  <r>
    <s v="USR-101071"/>
    <d v="2025-04-11T00:00:00"/>
    <x v="1"/>
    <s v="East"/>
    <s v="Tablet"/>
    <s v="Referral"/>
    <s v="Free"/>
    <n v="1"/>
    <n v="1"/>
    <n v="1"/>
    <x v="0"/>
    <n v="0"/>
    <n v="0"/>
    <n v="0"/>
    <n v="0"/>
    <m/>
    <n v="72"/>
  </r>
  <r>
    <s v="USR-101072"/>
    <d v="2025-03-11T00:00:00"/>
    <x v="1"/>
    <s v="North"/>
    <s v="Mobile"/>
    <s v="Organic"/>
    <s v="Free"/>
    <n v="0"/>
    <n v="0"/>
    <n v="0"/>
    <x v="0"/>
    <n v="0"/>
    <n v="0"/>
    <n v="0"/>
    <n v="0"/>
    <m/>
    <n v="72.2"/>
  </r>
  <r>
    <s v="USR-101073"/>
    <d v="2025-05-22T00:00:00"/>
    <x v="1"/>
    <s v="East"/>
    <s v="Mobile"/>
    <s v="Referral"/>
    <s v="Free"/>
    <n v="1"/>
    <n v="0"/>
    <n v="0"/>
    <x v="0"/>
    <n v="0"/>
    <n v="1"/>
    <n v="1"/>
    <n v="0"/>
    <m/>
    <m/>
  </r>
  <r>
    <s v="USR-101074"/>
    <d v="2025-02-22T00:00:00"/>
    <x v="1"/>
    <s v="South"/>
    <s v="Desktop"/>
    <s v="Organic"/>
    <s v="Free"/>
    <n v="1"/>
    <n v="1"/>
    <n v="1"/>
    <x v="1"/>
    <n v="331.53"/>
    <n v="2"/>
    <n v="1"/>
    <n v="0"/>
    <n v="4"/>
    <n v="56.8"/>
  </r>
  <r>
    <s v="USR-101075"/>
    <d v="2025-01-13T00:00:00"/>
    <x v="1"/>
    <s v="East"/>
    <s v="Mobile"/>
    <s v="Paid Search"/>
    <s v="Basic"/>
    <n v="1"/>
    <n v="0"/>
    <n v="0"/>
    <x v="0"/>
    <n v="0"/>
    <n v="0"/>
    <n v="0"/>
    <n v="0"/>
    <m/>
    <n v="62.5"/>
  </r>
  <r>
    <s v="USR-101076"/>
    <d v="2025-05-19T00:00:00"/>
    <x v="1"/>
    <s v="South"/>
    <s v="Mobile"/>
    <s v="Organic"/>
    <s v="Free"/>
    <n v="1"/>
    <n v="0"/>
    <n v="0"/>
    <x v="0"/>
    <n v="0"/>
    <n v="0"/>
    <n v="0"/>
    <n v="0"/>
    <m/>
    <n v="63.4"/>
  </r>
  <r>
    <s v="USR-101077"/>
    <d v="2025-03-08T00:00:00"/>
    <x v="1"/>
    <s v="North"/>
    <s v="Tablet"/>
    <s v="Organic"/>
    <s v="Basic"/>
    <n v="1"/>
    <n v="1"/>
    <n v="1"/>
    <x v="1"/>
    <n v="774.78"/>
    <n v="0"/>
    <n v="0"/>
    <n v="0"/>
    <n v="3"/>
    <n v="46.8"/>
  </r>
  <r>
    <s v="USR-101078"/>
    <d v="2025-04-20T00:00:00"/>
    <x v="1"/>
    <s v="South"/>
    <s v="Mobile"/>
    <s v="Organic"/>
    <s v="Free"/>
    <n v="1"/>
    <n v="1"/>
    <n v="1"/>
    <x v="1"/>
    <n v="422.02"/>
    <n v="0"/>
    <n v="0"/>
    <n v="0"/>
    <n v="8"/>
    <n v="86.5"/>
  </r>
  <r>
    <s v="USR-101079"/>
    <d v="2025-05-08T00:00:00"/>
    <x v="1"/>
    <s v="West"/>
    <s v="Mobile"/>
    <s v="Email"/>
    <s v="Basic"/>
    <n v="0"/>
    <n v="0"/>
    <n v="0"/>
    <x v="0"/>
    <n v="0"/>
    <n v="1"/>
    <n v="1"/>
    <n v="0"/>
    <m/>
    <n v="75.099999999999994"/>
  </r>
  <r>
    <s v="USR-101080"/>
    <d v="2025-05-10T00:00:00"/>
    <x v="1"/>
    <s v="South"/>
    <s v="Mobile"/>
    <s v="Organic"/>
    <s v="Basic"/>
    <n v="1"/>
    <n v="0"/>
    <n v="0"/>
    <x v="0"/>
    <n v="0"/>
    <n v="0"/>
    <n v="0"/>
    <n v="0"/>
    <m/>
    <n v="64.5"/>
  </r>
  <r>
    <s v="USR-101081"/>
    <d v="2025-03-28T00:00:00"/>
    <x v="1"/>
    <s v="East"/>
    <s v="Mobile"/>
    <s v="Organic"/>
    <s v="Free"/>
    <n v="1"/>
    <n v="0"/>
    <n v="0"/>
    <x v="0"/>
    <n v="0"/>
    <n v="0"/>
    <n v="0"/>
    <n v="0"/>
    <m/>
    <n v="54.2"/>
  </r>
  <r>
    <s v="USR-101082"/>
    <d v="2025-04-30T00:00:00"/>
    <x v="1"/>
    <s v="East"/>
    <s v="Mobile"/>
    <s v="Paid Search"/>
    <s v="Premium"/>
    <n v="1"/>
    <n v="1"/>
    <n v="1"/>
    <x v="0"/>
    <n v="0"/>
    <n v="0"/>
    <n v="0"/>
    <n v="0"/>
    <m/>
    <n v="84.1"/>
  </r>
  <r>
    <s v="USR-101083"/>
    <d v="2025-02-08T00:00:00"/>
    <x v="1"/>
    <s v="North"/>
    <s v="Mobile"/>
    <s v="Organic"/>
    <s v="Basic"/>
    <n v="0"/>
    <n v="0"/>
    <n v="0"/>
    <x v="0"/>
    <n v="0"/>
    <n v="1"/>
    <n v="1"/>
    <n v="0"/>
    <m/>
    <n v="49.1"/>
  </r>
  <r>
    <s v="USR-101084"/>
    <d v="2025-03-07T00:00:00"/>
    <x v="1"/>
    <s v="South"/>
    <s v="Mobile"/>
    <s v="Referral"/>
    <s v="Premium"/>
    <n v="0"/>
    <n v="0"/>
    <n v="0"/>
    <x v="0"/>
    <n v="0"/>
    <n v="0"/>
    <n v="0"/>
    <n v="0"/>
    <m/>
    <n v="92.7"/>
  </r>
  <r>
    <s v="USR-101085"/>
    <d v="2025-05-21T00:00:00"/>
    <x v="1"/>
    <s v="South"/>
    <s v="Mobile"/>
    <s v="Social"/>
    <s v="Basic"/>
    <n v="1"/>
    <n v="1"/>
    <n v="1"/>
    <x v="0"/>
    <n v="0"/>
    <n v="1"/>
    <n v="1"/>
    <n v="0"/>
    <m/>
    <n v="58.7"/>
  </r>
  <r>
    <s v="USR-101086"/>
    <d v="2025-04-12T00:00:00"/>
    <x v="1"/>
    <s v="South"/>
    <s v="Mobile"/>
    <s v="Social"/>
    <s v="Free"/>
    <n v="1"/>
    <n v="1"/>
    <n v="1"/>
    <x v="0"/>
    <n v="0"/>
    <n v="0"/>
    <n v="0"/>
    <n v="0"/>
    <m/>
    <n v="59.3"/>
  </r>
  <r>
    <s v="USR-101087"/>
    <d v="2025-02-02T00:00:00"/>
    <x v="1"/>
    <s v="South"/>
    <s v="Mobile"/>
    <s v="Paid Search"/>
    <s v="Free"/>
    <n v="1"/>
    <n v="0"/>
    <n v="0"/>
    <x v="0"/>
    <n v="0"/>
    <n v="0"/>
    <n v="0"/>
    <n v="0"/>
    <m/>
    <n v="62"/>
  </r>
  <r>
    <s v="USR-101088"/>
    <d v="2025-04-22T00:00:00"/>
    <x v="1"/>
    <s v="North"/>
    <s v="Tablet"/>
    <s v="Referral"/>
    <s v="Free"/>
    <n v="1"/>
    <n v="1"/>
    <n v="1"/>
    <x v="0"/>
    <n v="0"/>
    <n v="1"/>
    <n v="1"/>
    <n v="0"/>
    <m/>
    <n v="60.3"/>
  </r>
  <r>
    <s v="USR-101089"/>
    <d v="2025-02-08T00:00:00"/>
    <x v="1"/>
    <s v="North"/>
    <s v="Mobile"/>
    <s v="Social"/>
    <s v="Basic"/>
    <n v="1"/>
    <n v="0"/>
    <n v="0"/>
    <x v="0"/>
    <n v="0"/>
    <n v="0"/>
    <n v="0"/>
    <n v="0"/>
    <m/>
    <n v="70.5"/>
  </r>
  <r>
    <s v="USR-101090"/>
    <d v="2025-01-24T00:00:00"/>
    <x v="1"/>
    <s v="South"/>
    <s v="Desktop"/>
    <s v="Email"/>
    <s v="Free"/>
    <n v="1"/>
    <n v="0"/>
    <n v="0"/>
    <x v="0"/>
    <n v="0"/>
    <n v="0"/>
    <n v="0"/>
    <n v="0"/>
    <m/>
    <n v="36.799999999999997"/>
  </r>
  <r>
    <s v="USR-101091"/>
    <d v="2025-05-12T00:00:00"/>
    <x v="1"/>
    <s v="South"/>
    <s v="Mobile"/>
    <s v="Paid Search"/>
    <s v="Basic"/>
    <n v="0"/>
    <n v="0"/>
    <n v="0"/>
    <x v="0"/>
    <n v="0"/>
    <n v="1"/>
    <n v="1"/>
    <n v="0"/>
    <m/>
    <n v="73.2"/>
  </r>
  <r>
    <s v="USR-101092"/>
    <d v="2025-03-30T00:00:00"/>
    <x v="1"/>
    <s v="North"/>
    <s v="Mobile"/>
    <s v="Organic"/>
    <s v="Basic"/>
    <n v="0"/>
    <n v="0"/>
    <n v="0"/>
    <x v="0"/>
    <n v="0"/>
    <n v="0"/>
    <n v="0"/>
    <n v="0"/>
    <m/>
    <n v="70.099999999999994"/>
  </r>
  <r>
    <s v="USR-101093"/>
    <d v="2025-01-02T00:00:00"/>
    <x v="1"/>
    <s v="South"/>
    <s v="Desktop"/>
    <s v="Paid Search"/>
    <s v="Basic"/>
    <n v="1"/>
    <n v="0"/>
    <n v="0"/>
    <x v="0"/>
    <n v="0"/>
    <n v="0"/>
    <n v="0"/>
    <n v="0"/>
    <m/>
    <n v="76.400000000000006"/>
  </r>
  <r>
    <s v="USR-101094"/>
    <d v="2025-03-21T00:00:00"/>
    <x v="1"/>
    <s v="South"/>
    <s v="Tablet"/>
    <s v="Email"/>
    <s v="Basic"/>
    <n v="0"/>
    <n v="0"/>
    <n v="0"/>
    <x v="0"/>
    <n v="0"/>
    <n v="0"/>
    <n v="0"/>
    <n v="0"/>
    <m/>
    <n v="46.4"/>
  </r>
  <r>
    <s v="USR-101095"/>
    <d v="2025-01-25T00:00:00"/>
    <x v="1"/>
    <s v="West"/>
    <s v="Mobile"/>
    <s v="Organic"/>
    <s v="Free"/>
    <n v="1"/>
    <n v="1"/>
    <n v="1"/>
    <x v="0"/>
    <n v="0"/>
    <n v="1"/>
    <n v="1"/>
    <n v="0"/>
    <m/>
    <n v="81.3"/>
  </r>
  <r>
    <s v="USR-101096"/>
    <d v="2025-01-12T00:00:00"/>
    <x v="1"/>
    <s v="South"/>
    <s v="Tablet"/>
    <s v="Social"/>
    <s v="Free"/>
    <n v="1"/>
    <n v="1"/>
    <n v="1"/>
    <x v="0"/>
    <n v="0"/>
    <n v="0"/>
    <n v="0"/>
    <n v="0"/>
    <m/>
    <n v="55.3"/>
  </r>
  <r>
    <s v="USR-101097"/>
    <d v="2025-03-18T00:00:00"/>
    <x v="1"/>
    <s v="East"/>
    <s v="Desktop"/>
    <s v="Referral"/>
    <s v="Free"/>
    <n v="1"/>
    <n v="0"/>
    <n v="0"/>
    <x v="0"/>
    <n v="0"/>
    <n v="0"/>
    <n v="0"/>
    <n v="0"/>
    <m/>
    <n v="44.7"/>
  </r>
  <r>
    <s v="USR-101098"/>
    <d v="2025-03-26T00:00:00"/>
    <x v="1"/>
    <s v="East"/>
    <s v="Mobile"/>
    <s v="Paid Search"/>
    <s v="Basic"/>
    <n v="1"/>
    <n v="0"/>
    <n v="0"/>
    <x v="0"/>
    <n v="0"/>
    <n v="0"/>
    <n v="0"/>
    <n v="0"/>
    <m/>
    <n v="67.2"/>
  </r>
  <r>
    <s v="USR-101099"/>
    <d v="2025-04-19T00:00:00"/>
    <x v="1"/>
    <s v="North"/>
    <s v="Mobile"/>
    <s v="Paid Search"/>
    <s v="Basic"/>
    <n v="1"/>
    <n v="0"/>
    <n v="0"/>
    <x v="0"/>
    <n v="0"/>
    <n v="0"/>
    <n v="0"/>
    <n v="0"/>
    <m/>
    <m/>
  </r>
  <r>
    <s v="USR-101100"/>
    <d v="2025-04-17T00:00:00"/>
    <x v="1"/>
    <s v="East"/>
    <s v="Mobile"/>
    <s v="Organic"/>
    <s v="Premium"/>
    <n v="1"/>
    <n v="1"/>
    <n v="1"/>
    <x v="0"/>
    <n v="0"/>
    <n v="1"/>
    <n v="1"/>
    <n v="0"/>
    <m/>
    <n v="70.8"/>
  </r>
  <r>
    <s v="USR-101101"/>
    <d v="2025-05-26T00:00:00"/>
    <x v="1"/>
    <s v="South"/>
    <s v="Mobile"/>
    <s v="Paid Search"/>
    <s v="Free"/>
    <n v="1"/>
    <n v="0"/>
    <n v="0"/>
    <x v="0"/>
    <n v="0"/>
    <n v="0"/>
    <n v="0"/>
    <n v="0"/>
    <m/>
    <n v="71.3"/>
  </r>
  <r>
    <s v="USR-101102"/>
    <d v="2025-04-14T00:00:00"/>
    <x v="1"/>
    <s v="North"/>
    <s v="Mobile"/>
    <s v="Social"/>
    <s v="Premium"/>
    <n v="1"/>
    <n v="1"/>
    <n v="1"/>
    <x v="0"/>
    <n v="0"/>
    <n v="0"/>
    <n v="0"/>
    <n v="0"/>
    <m/>
    <n v="69.400000000000006"/>
  </r>
  <r>
    <s v="USR-101103"/>
    <d v="2025-01-23T00:00:00"/>
    <x v="1"/>
    <s v="South"/>
    <s v="Mobile"/>
    <s v="Organic"/>
    <s v="Basic"/>
    <n v="1"/>
    <n v="1"/>
    <n v="0"/>
    <x v="0"/>
    <n v="0"/>
    <n v="0"/>
    <n v="0"/>
    <n v="0"/>
    <m/>
    <n v="58.9"/>
  </r>
  <r>
    <s v="USR-101104"/>
    <d v="2025-01-06T00:00:00"/>
    <x v="1"/>
    <s v="East"/>
    <s v="Mobile"/>
    <s v="Referral"/>
    <s v="Free"/>
    <n v="0"/>
    <n v="0"/>
    <n v="0"/>
    <x v="0"/>
    <n v="0"/>
    <n v="0"/>
    <n v="0"/>
    <n v="0"/>
    <m/>
    <n v="70.7"/>
  </r>
  <r>
    <s v="USR-101105"/>
    <d v="2025-05-31T00:00:00"/>
    <x v="1"/>
    <s v="West"/>
    <s v="Mobile"/>
    <s v="Email"/>
    <s v="Basic"/>
    <n v="1"/>
    <n v="0"/>
    <n v="0"/>
    <x v="0"/>
    <n v="0"/>
    <n v="0"/>
    <n v="0"/>
    <n v="0"/>
    <m/>
    <n v="60.5"/>
  </r>
  <r>
    <s v="USR-101106"/>
    <d v="2025-05-19T00:00:00"/>
    <x v="1"/>
    <s v="North"/>
    <s v="Mobile"/>
    <s v="Organic"/>
    <s v="Basic"/>
    <n v="1"/>
    <n v="1"/>
    <n v="1"/>
    <x v="0"/>
    <n v="0"/>
    <n v="0"/>
    <n v="0"/>
    <n v="0"/>
    <m/>
    <n v="77.3"/>
  </r>
  <r>
    <s v="USR-101107"/>
    <d v="2025-02-25T00:00:00"/>
    <x v="1"/>
    <s v="North"/>
    <s v="Mobile"/>
    <s v="Organic"/>
    <s v="Free"/>
    <n v="0"/>
    <n v="0"/>
    <n v="0"/>
    <x v="0"/>
    <n v="0"/>
    <n v="1"/>
    <n v="1"/>
    <n v="0"/>
    <m/>
    <n v="39.5"/>
  </r>
  <r>
    <s v="USR-101108"/>
    <d v="2025-01-10T00:00:00"/>
    <x v="1"/>
    <s v="South"/>
    <s v="Tablet"/>
    <s v="Organic"/>
    <s v="Basic"/>
    <n v="1"/>
    <n v="0"/>
    <n v="0"/>
    <x v="0"/>
    <n v="0"/>
    <n v="0"/>
    <n v="0"/>
    <n v="0"/>
    <m/>
    <n v="68.099999999999994"/>
  </r>
  <r>
    <s v="USR-101109"/>
    <d v="2025-05-13T00:00:00"/>
    <x v="1"/>
    <s v="North"/>
    <s v="Tablet"/>
    <s v="Paid Search"/>
    <s v="Free"/>
    <n v="0"/>
    <n v="0"/>
    <n v="0"/>
    <x v="0"/>
    <n v="0"/>
    <n v="0"/>
    <n v="0"/>
    <n v="0"/>
    <m/>
    <n v="80.3"/>
  </r>
  <r>
    <s v="USR-101110"/>
    <d v="2025-04-27T00:00:00"/>
    <x v="1"/>
    <s v="West"/>
    <s v="Desktop"/>
    <s v="Organic"/>
    <s v="Premium"/>
    <n v="1"/>
    <n v="0"/>
    <n v="0"/>
    <x v="0"/>
    <n v="0"/>
    <n v="0"/>
    <n v="0"/>
    <n v="0"/>
    <m/>
    <n v="77.7"/>
  </r>
  <r>
    <s v="USR-101111"/>
    <d v="2025-04-03T00:00:00"/>
    <x v="1"/>
    <s v="South"/>
    <s v="Mobile"/>
    <s v="Organic"/>
    <s v="Free"/>
    <n v="1"/>
    <n v="0"/>
    <n v="0"/>
    <x v="0"/>
    <n v="0"/>
    <n v="1"/>
    <n v="1"/>
    <n v="0"/>
    <m/>
    <n v="66.2"/>
  </r>
  <r>
    <s v="USR-101112"/>
    <d v="2025-03-26T00:00:00"/>
    <x v="1"/>
    <s v="South"/>
    <s v="Mobile"/>
    <s v="Organic"/>
    <s v="Free"/>
    <n v="1"/>
    <n v="1"/>
    <n v="1"/>
    <x v="0"/>
    <n v="0"/>
    <n v="1"/>
    <n v="1"/>
    <n v="0"/>
    <m/>
    <n v="43.9"/>
  </r>
  <r>
    <s v="USR-101113"/>
    <d v="2025-01-31T00:00:00"/>
    <x v="1"/>
    <s v="South"/>
    <s v="Mobile"/>
    <s v="Organic"/>
    <s v="Basic"/>
    <n v="1"/>
    <n v="1"/>
    <n v="1"/>
    <x v="0"/>
    <n v="0"/>
    <n v="2"/>
    <n v="1"/>
    <n v="0"/>
    <m/>
    <n v="59.1"/>
  </r>
  <r>
    <s v="USR-101114"/>
    <d v="2025-01-25T00:00:00"/>
    <x v="1"/>
    <s v="South"/>
    <s v="Mobile"/>
    <s v="Social"/>
    <s v="Free"/>
    <n v="1"/>
    <n v="1"/>
    <n v="1"/>
    <x v="1"/>
    <n v="416.94"/>
    <n v="1"/>
    <n v="1"/>
    <n v="0"/>
    <n v="11"/>
    <n v="67"/>
  </r>
  <r>
    <s v="USR-101115"/>
    <d v="2025-02-06T00:00:00"/>
    <x v="1"/>
    <s v="West"/>
    <s v="Mobile"/>
    <s v="Referral"/>
    <s v="Basic"/>
    <n v="1"/>
    <n v="0"/>
    <n v="0"/>
    <x v="0"/>
    <n v="0"/>
    <n v="0"/>
    <n v="0"/>
    <n v="0"/>
    <m/>
    <n v="47.9"/>
  </r>
  <r>
    <s v="USR-101116"/>
    <d v="2025-03-10T00:00:00"/>
    <x v="1"/>
    <s v="East"/>
    <s v="Mobile"/>
    <s v="Paid Search"/>
    <s v="Free"/>
    <n v="1"/>
    <n v="1"/>
    <n v="0"/>
    <x v="0"/>
    <n v="0"/>
    <n v="0"/>
    <n v="0"/>
    <n v="0"/>
    <m/>
    <n v="41.5"/>
  </r>
  <r>
    <s v="USR-101117"/>
    <d v="2025-01-26T00:00:00"/>
    <x v="1"/>
    <s v="West"/>
    <s v="Mobile"/>
    <s v="Organic"/>
    <s v="Basic"/>
    <n v="1"/>
    <n v="1"/>
    <n v="1"/>
    <x v="0"/>
    <n v="0"/>
    <n v="3"/>
    <n v="1"/>
    <n v="0"/>
    <m/>
    <n v="30.6"/>
  </r>
  <r>
    <s v="USR-101118"/>
    <d v="2025-01-01T00:00:00"/>
    <x v="1"/>
    <s v="East"/>
    <s v="Mobile"/>
    <s v="Paid Search"/>
    <s v="Free"/>
    <n v="1"/>
    <n v="1"/>
    <n v="0"/>
    <x v="0"/>
    <n v="0"/>
    <n v="0"/>
    <n v="0"/>
    <n v="0"/>
    <m/>
    <n v="91.5"/>
  </r>
  <r>
    <s v="USR-101119"/>
    <d v="2025-04-28T00:00:00"/>
    <x v="1"/>
    <s v="North"/>
    <s v="Desktop"/>
    <s v="Social"/>
    <s v="Basic"/>
    <n v="1"/>
    <n v="0"/>
    <n v="0"/>
    <x v="0"/>
    <n v="0"/>
    <n v="0"/>
    <n v="0"/>
    <n v="0"/>
    <m/>
    <n v="80.8"/>
  </r>
  <r>
    <s v="USR-101120"/>
    <d v="2025-04-04T00:00:00"/>
    <x v="1"/>
    <s v="North"/>
    <s v="Mobile"/>
    <s v="Organic"/>
    <s v="Premium"/>
    <n v="1"/>
    <n v="0"/>
    <n v="0"/>
    <x v="0"/>
    <n v="0"/>
    <n v="0"/>
    <n v="0"/>
    <n v="0"/>
    <m/>
    <n v="68.099999999999994"/>
  </r>
  <r>
    <s v="USR-101121"/>
    <d v="2025-03-02T00:00:00"/>
    <x v="1"/>
    <s v="East"/>
    <s v="Mobile"/>
    <s v="Paid Search"/>
    <s v="Free"/>
    <n v="1"/>
    <n v="0"/>
    <n v="0"/>
    <x v="0"/>
    <n v="0"/>
    <n v="0"/>
    <n v="0"/>
    <n v="0"/>
    <m/>
    <n v="80.3"/>
  </r>
  <r>
    <s v="USR-101122"/>
    <d v="2025-03-19T00:00:00"/>
    <x v="1"/>
    <s v="South"/>
    <s v="Tablet"/>
    <s v="Organic"/>
    <s v="Basic"/>
    <n v="1"/>
    <n v="0"/>
    <n v="0"/>
    <x v="0"/>
    <n v="0"/>
    <n v="0"/>
    <n v="0"/>
    <n v="0"/>
    <m/>
    <n v="44.4"/>
  </r>
  <r>
    <s v="USR-101123"/>
    <d v="2025-01-20T00:00:00"/>
    <x v="1"/>
    <s v="South"/>
    <s v="Desktop"/>
    <s v="Organic"/>
    <s v="Basic"/>
    <n v="0"/>
    <n v="0"/>
    <n v="0"/>
    <x v="0"/>
    <n v="0"/>
    <n v="0"/>
    <n v="0"/>
    <n v="0"/>
    <m/>
    <n v="51.9"/>
  </r>
  <r>
    <s v="USR-101124"/>
    <d v="2025-04-03T00:00:00"/>
    <x v="1"/>
    <s v="East"/>
    <s v="Mobile"/>
    <s v="Paid Search"/>
    <s v="Free"/>
    <n v="1"/>
    <n v="1"/>
    <n v="0"/>
    <x v="0"/>
    <n v="0"/>
    <n v="0"/>
    <n v="0"/>
    <n v="0"/>
    <m/>
    <n v="49.8"/>
  </r>
  <r>
    <s v="USR-101125"/>
    <d v="2025-01-11T00:00:00"/>
    <x v="1"/>
    <s v="East"/>
    <s v="Desktop"/>
    <s v="Social"/>
    <s v="Free"/>
    <n v="1"/>
    <n v="1"/>
    <n v="1"/>
    <x v="0"/>
    <n v="0"/>
    <n v="3"/>
    <n v="1"/>
    <n v="0"/>
    <m/>
    <n v="62.1"/>
  </r>
  <r>
    <s v="USR-101126"/>
    <d v="2025-02-02T00:00:00"/>
    <x v="1"/>
    <s v="West"/>
    <s v="Desktop"/>
    <s v="Social"/>
    <s v="Basic"/>
    <n v="1"/>
    <n v="0"/>
    <n v="0"/>
    <x v="0"/>
    <n v="0"/>
    <n v="0"/>
    <n v="0"/>
    <n v="0"/>
    <m/>
    <n v="91.3"/>
  </r>
  <r>
    <s v="USR-101127"/>
    <d v="2025-04-01T00:00:00"/>
    <x v="1"/>
    <s v="South"/>
    <s v="Mobile"/>
    <s v="Organic"/>
    <s v="Basic"/>
    <n v="1"/>
    <n v="0"/>
    <n v="0"/>
    <x v="0"/>
    <n v="0"/>
    <n v="0"/>
    <n v="0"/>
    <n v="0"/>
    <m/>
    <n v="66.400000000000006"/>
  </r>
  <r>
    <s v="USR-101128"/>
    <d v="2025-05-22T00:00:00"/>
    <x v="1"/>
    <s v="East"/>
    <s v="Mobile"/>
    <s v="Organic"/>
    <s v="Basic"/>
    <n v="1"/>
    <n v="0"/>
    <n v="0"/>
    <x v="0"/>
    <n v="0"/>
    <n v="0"/>
    <n v="0"/>
    <n v="0"/>
    <m/>
    <n v="41.5"/>
  </r>
  <r>
    <s v="USR-101129"/>
    <d v="2025-02-20T00:00:00"/>
    <x v="1"/>
    <s v="West"/>
    <s v="Mobile"/>
    <s v="Organic"/>
    <s v="Basic"/>
    <n v="0"/>
    <n v="0"/>
    <n v="0"/>
    <x v="0"/>
    <n v="0"/>
    <n v="0"/>
    <n v="0"/>
    <n v="0"/>
    <m/>
    <n v="77.099999999999994"/>
  </r>
  <r>
    <s v="USR-101130"/>
    <d v="2025-03-21T00:00:00"/>
    <x v="1"/>
    <s v="West"/>
    <s v="Mobile"/>
    <s v="Organic"/>
    <s v="Free"/>
    <n v="1"/>
    <n v="0"/>
    <n v="0"/>
    <x v="0"/>
    <n v="0"/>
    <n v="0"/>
    <n v="0"/>
    <n v="0"/>
    <m/>
    <n v="63.2"/>
  </r>
  <r>
    <s v="USR-101131"/>
    <d v="2025-05-01T00:00:00"/>
    <x v="1"/>
    <s v="West"/>
    <s v="Desktop"/>
    <s v="Referral"/>
    <s v="Free"/>
    <n v="1"/>
    <n v="1"/>
    <n v="1"/>
    <x v="0"/>
    <n v="0"/>
    <n v="3"/>
    <n v="1"/>
    <n v="0"/>
    <m/>
    <n v="75.7"/>
  </r>
  <r>
    <s v="USR-101132"/>
    <d v="2025-01-06T00:00:00"/>
    <x v="1"/>
    <s v="West"/>
    <s v="Mobile"/>
    <s v="Paid Search"/>
    <s v="Basic"/>
    <n v="0"/>
    <n v="0"/>
    <n v="0"/>
    <x v="0"/>
    <n v="0"/>
    <n v="0"/>
    <n v="0"/>
    <n v="0"/>
    <m/>
    <n v="62.9"/>
  </r>
  <r>
    <s v="USR-101133"/>
    <d v="2025-04-12T00:00:00"/>
    <x v="1"/>
    <s v="North"/>
    <s v="Desktop"/>
    <s v="Paid Search"/>
    <s v="Premium"/>
    <n v="1"/>
    <n v="0"/>
    <n v="0"/>
    <x v="0"/>
    <n v="0"/>
    <n v="3"/>
    <n v="1"/>
    <n v="0"/>
    <m/>
    <n v="64.599999999999994"/>
  </r>
  <r>
    <s v="USR-101134"/>
    <d v="2025-04-18T00:00:00"/>
    <x v="1"/>
    <s v="North"/>
    <s v="Mobile"/>
    <m/>
    <s v="Basic"/>
    <n v="1"/>
    <n v="0"/>
    <n v="0"/>
    <x v="0"/>
    <n v="0"/>
    <n v="0"/>
    <n v="0"/>
    <n v="0"/>
    <m/>
    <n v="76.599999999999994"/>
  </r>
  <r>
    <s v="USR-101135"/>
    <d v="2025-03-24T00:00:00"/>
    <x v="1"/>
    <s v="East"/>
    <s v="Mobile"/>
    <s v="Social"/>
    <s v="Basic"/>
    <n v="1"/>
    <n v="0"/>
    <n v="0"/>
    <x v="0"/>
    <n v="0"/>
    <n v="0"/>
    <n v="0"/>
    <n v="0"/>
    <m/>
    <n v="74.8"/>
  </r>
  <r>
    <s v="USR-101136"/>
    <d v="2025-03-18T00:00:00"/>
    <x v="1"/>
    <s v="East"/>
    <s v="Desktop"/>
    <s v="Email"/>
    <s v="Premium"/>
    <n v="1"/>
    <n v="0"/>
    <n v="0"/>
    <x v="0"/>
    <n v="0"/>
    <n v="2"/>
    <n v="1"/>
    <n v="0"/>
    <m/>
    <n v="38.1"/>
  </r>
  <r>
    <s v="USR-101137"/>
    <d v="2025-04-30T00:00:00"/>
    <x v="1"/>
    <s v="South"/>
    <s v="Tablet"/>
    <s v="Paid Search"/>
    <s v="Basic"/>
    <n v="1"/>
    <n v="1"/>
    <n v="0"/>
    <x v="0"/>
    <n v="0"/>
    <n v="0"/>
    <n v="0"/>
    <n v="0"/>
    <m/>
    <n v="60.2"/>
  </r>
  <r>
    <s v="USR-101138"/>
    <d v="2025-01-25T00:00:00"/>
    <x v="1"/>
    <s v="West"/>
    <s v="Mobile"/>
    <s v="Email"/>
    <s v="Free"/>
    <n v="1"/>
    <n v="1"/>
    <n v="0"/>
    <x v="0"/>
    <n v="0"/>
    <n v="0"/>
    <n v="0"/>
    <n v="0"/>
    <m/>
    <n v="73.5"/>
  </r>
  <r>
    <s v="USR-101139"/>
    <d v="2025-04-10T00:00:00"/>
    <x v="1"/>
    <s v="South"/>
    <s v="Mobile"/>
    <s v="Organic"/>
    <s v="Free"/>
    <n v="1"/>
    <n v="0"/>
    <n v="0"/>
    <x v="0"/>
    <n v="0"/>
    <n v="0"/>
    <n v="0"/>
    <n v="0"/>
    <m/>
    <n v="70.900000000000006"/>
  </r>
  <r>
    <s v="USR-101140"/>
    <d v="2025-01-10T00:00:00"/>
    <x v="1"/>
    <s v="West"/>
    <s v="Mobile"/>
    <s v="Social"/>
    <s v="Free"/>
    <n v="1"/>
    <n v="0"/>
    <n v="0"/>
    <x v="0"/>
    <n v="0"/>
    <n v="0"/>
    <n v="0"/>
    <n v="0"/>
    <m/>
    <n v="63.7"/>
  </r>
  <r>
    <s v="USR-101141"/>
    <d v="2025-02-11T00:00:00"/>
    <x v="1"/>
    <s v="South"/>
    <s v="Mobile"/>
    <s v="Paid Search"/>
    <s v="Free"/>
    <n v="1"/>
    <n v="0"/>
    <n v="0"/>
    <x v="0"/>
    <n v="0"/>
    <n v="0"/>
    <n v="0"/>
    <n v="0"/>
    <m/>
    <n v="86.5"/>
  </r>
  <r>
    <s v="USR-101142"/>
    <d v="2025-05-01T00:00:00"/>
    <x v="1"/>
    <s v="East"/>
    <s v="Mobile"/>
    <s v="Social"/>
    <s v="Basic"/>
    <n v="1"/>
    <n v="1"/>
    <n v="1"/>
    <x v="1"/>
    <n v="921.72"/>
    <n v="3"/>
    <n v="1"/>
    <n v="0"/>
    <n v="7"/>
    <n v="74.599999999999994"/>
  </r>
  <r>
    <s v="USR-101143"/>
    <d v="2025-01-18T00:00:00"/>
    <x v="1"/>
    <s v="East"/>
    <s v="Mobile"/>
    <s v="Organic"/>
    <s v="Free"/>
    <n v="1"/>
    <n v="0"/>
    <n v="0"/>
    <x v="0"/>
    <n v="0"/>
    <n v="0"/>
    <n v="0"/>
    <n v="0"/>
    <m/>
    <n v="46.6"/>
  </r>
  <r>
    <s v="USR-101144"/>
    <d v="2025-01-02T00:00:00"/>
    <x v="1"/>
    <s v="North"/>
    <s v="Mobile"/>
    <s v="Paid Search"/>
    <s v="Free"/>
    <n v="0"/>
    <n v="0"/>
    <n v="0"/>
    <x v="0"/>
    <n v="0"/>
    <n v="0"/>
    <n v="0"/>
    <n v="0"/>
    <m/>
    <n v="61.2"/>
  </r>
  <r>
    <s v="USR-101145"/>
    <d v="2025-05-11T00:00:00"/>
    <x v="1"/>
    <s v="West"/>
    <s v="Mobile"/>
    <s v="Organic"/>
    <s v="Free"/>
    <n v="1"/>
    <n v="1"/>
    <n v="1"/>
    <x v="1"/>
    <n v="290.39"/>
    <n v="0"/>
    <n v="0"/>
    <n v="0"/>
    <n v="4"/>
    <n v="54.4"/>
  </r>
  <r>
    <s v="USR-101146"/>
    <d v="2025-03-22T00:00:00"/>
    <x v="1"/>
    <s v="North"/>
    <s v="Mobile"/>
    <s v="Referral"/>
    <s v="Free"/>
    <n v="1"/>
    <n v="1"/>
    <n v="1"/>
    <x v="0"/>
    <n v="0"/>
    <n v="0"/>
    <n v="0"/>
    <n v="0"/>
    <m/>
    <n v="72"/>
  </r>
  <r>
    <s v="USR-101147"/>
    <d v="2025-05-02T00:00:00"/>
    <x v="1"/>
    <s v="South"/>
    <s v="Mobile"/>
    <s v="Social"/>
    <s v="Premium"/>
    <n v="1"/>
    <n v="1"/>
    <n v="1"/>
    <x v="1"/>
    <n v="1858.85"/>
    <n v="0"/>
    <n v="0"/>
    <n v="0"/>
    <n v="8"/>
    <n v="88.6"/>
  </r>
  <r>
    <s v="USR-101148"/>
    <d v="2025-05-26T00:00:00"/>
    <x v="1"/>
    <s v="East"/>
    <s v="Desktop"/>
    <m/>
    <s v="Basic"/>
    <n v="1"/>
    <n v="0"/>
    <n v="0"/>
    <x v="0"/>
    <n v="0"/>
    <n v="0"/>
    <n v="0"/>
    <n v="0"/>
    <m/>
    <n v="77.599999999999994"/>
  </r>
  <r>
    <s v="USR-101149"/>
    <d v="2025-03-13T00:00:00"/>
    <x v="1"/>
    <s v="South"/>
    <s v="Mobile"/>
    <s v="Organic"/>
    <s v="Basic"/>
    <n v="1"/>
    <n v="0"/>
    <n v="0"/>
    <x v="0"/>
    <n v="0"/>
    <n v="1"/>
    <n v="1"/>
    <n v="0"/>
    <m/>
    <n v="44.3"/>
  </r>
  <r>
    <s v="USR-101150"/>
    <d v="2025-05-17T00:00:00"/>
    <x v="1"/>
    <s v="South"/>
    <s v="Desktop"/>
    <s v="Paid Search"/>
    <s v="Free"/>
    <n v="1"/>
    <n v="1"/>
    <n v="0"/>
    <x v="0"/>
    <n v="0"/>
    <n v="0"/>
    <n v="0"/>
    <n v="0"/>
    <m/>
    <n v="49"/>
  </r>
  <r>
    <s v="USR-101151"/>
    <d v="2025-03-13T00:00:00"/>
    <x v="1"/>
    <s v="North"/>
    <s v="Desktop"/>
    <s v="Referral"/>
    <s v="Premium"/>
    <n v="1"/>
    <n v="0"/>
    <n v="0"/>
    <x v="0"/>
    <n v="0"/>
    <n v="0"/>
    <n v="0"/>
    <n v="0"/>
    <m/>
    <n v="53.9"/>
  </r>
  <r>
    <s v="USR-101152"/>
    <d v="2025-02-11T00:00:00"/>
    <x v="1"/>
    <s v="East"/>
    <s v="Desktop"/>
    <s v="Organic"/>
    <s v="Basic"/>
    <n v="1"/>
    <n v="0"/>
    <n v="0"/>
    <x v="0"/>
    <n v="0"/>
    <n v="1"/>
    <n v="1"/>
    <n v="0"/>
    <m/>
    <n v="69"/>
  </r>
  <r>
    <s v="USR-101153"/>
    <d v="2025-03-01T00:00:00"/>
    <x v="1"/>
    <s v="West"/>
    <s v="Mobile"/>
    <s v="Social"/>
    <s v="Free"/>
    <n v="0"/>
    <n v="0"/>
    <n v="0"/>
    <x v="0"/>
    <n v="0"/>
    <n v="0"/>
    <n v="0"/>
    <n v="0"/>
    <m/>
    <n v="37.4"/>
  </r>
  <r>
    <s v="USR-101154"/>
    <d v="2025-04-15T00:00:00"/>
    <x v="1"/>
    <s v="West"/>
    <s v="Mobile"/>
    <s v="Organic"/>
    <s v="Basic"/>
    <n v="0"/>
    <n v="0"/>
    <n v="0"/>
    <x v="0"/>
    <n v="0"/>
    <n v="0"/>
    <n v="0"/>
    <n v="0"/>
    <m/>
    <n v="59"/>
  </r>
  <r>
    <s v="USR-101155"/>
    <d v="2025-02-02T00:00:00"/>
    <x v="1"/>
    <s v="East"/>
    <s v="Mobile"/>
    <s v="Organic"/>
    <s v="Premium"/>
    <n v="1"/>
    <n v="0"/>
    <n v="0"/>
    <x v="0"/>
    <n v="0"/>
    <n v="0"/>
    <n v="0"/>
    <n v="0"/>
    <m/>
    <n v="60.8"/>
  </r>
  <r>
    <s v="USR-101156"/>
    <d v="2025-05-19T00:00:00"/>
    <x v="1"/>
    <s v="South"/>
    <s v="Mobile"/>
    <s v="Email"/>
    <s v="Free"/>
    <n v="1"/>
    <n v="0"/>
    <n v="0"/>
    <x v="0"/>
    <n v="0"/>
    <n v="0"/>
    <n v="0"/>
    <n v="0"/>
    <m/>
    <n v="57.5"/>
  </r>
  <r>
    <s v="USR-101157"/>
    <d v="2025-01-05T00:00:00"/>
    <x v="1"/>
    <s v="West"/>
    <s v="Mobile"/>
    <s v="Referral"/>
    <s v="Free"/>
    <n v="0"/>
    <n v="0"/>
    <n v="0"/>
    <x v="0"/>
    <n v="0"/>
    <n v="0"/>
    <n v="0"/>
    <n v="0"/>
    <m/>
    <n v="84.2"/>
  </r>
  <r>
    <s v="USR-101158"/>
    <d v="2025-03-08T00:00:00"/>
    <x v="1"/>
    <s v="South"/>
    <s v="Mobile"/>
    <s v="Paid Search"/>
    <s v="Free"/>
    <n v="1"/>
    <n v="1"/>
    <n v="0"/>
    <x v="0"/>
    <n v="0"/>
    <n v="0"/>
    <n v="0"/>
    <n v="0"/>
    <m/>
    <n v="27.4"/>
  </r>
  <r>
    <s v="USR-101159"/>
    <d v="2025-03-12T00:00:00"/>
    <x v="1"/>
    <s v="West"/>
    <s v="Mobile"/>
    <s v="Email"/>
    <s v="Basic"/>
    <n v="1"/>
    <n v="0"/>
    <n v="0"/>
    <x v="0"/>
    <n v="0"/>
    <n v="1"/>
    <n v="1"/>
    <n v="0"/>
    <m/>
    <n v="67.599999999999994"/>
  </r>
  <r>
    <s v="USR-101160"/>
    <d v="2025-01-24T00:00:00"/>
    <x v="1"/>
    <s v="West"/>
    <s v="Mobile"/>
    <s v="Organic"/>
    <s v="Free"/>
    <n v="0"/>
    <n v="0"/>
    <n v="0"/>
    <x v="0"/>
    <n v="0"/>
    <n v="0"/>
    <n v="0"/>
    <n v="0"/>
    <m/>
    <n v="68.400000000000006"/>
  </r>
  <r>
    <s v="USR-101161"/>
    <d v="2025-05-22T00:00:00"/>
    <x v="1"/>
    <s v="South"/>
    <s v="Mobile"/>
    <s v="Paid Search"/>
    <s v="Basic"/>
    <n v="1"/>
    <n v="1"/>
    <n v="1"/>
    <x v="0"/>
    <n v="0"/>
    <n v="0"/>
    <n v="0"/>
    <n v="0"/>
    <m/>
    <n v="66.5"/>
  </r>
  <r>
    <s v="USR-101162"/>
    <d v="2025-03-27T00:00:00"/>
    <x v="1"/>
    <s v="South"/>
    <s v="Mobile"/>
    <s v="Paid Search"/>
    <s v="Free"/>
    <n v="1"/>
    <n v="0"/>
    <n v="0"/>
    <x v="0"/>
    <n v="0"/>
    <n v="0"/>
    <n v="0"/>
    <n v="0"/>
    <m/>
    <n v="38.200000000000003"/>
  </r>
  <r>
    <s v="USR-101163"/>
    <d v="2025-01-02T00:00:00"/>
    <x v="1"/>
    <s v="West"/>
    <s v="Mobile"/>
    <s v="Social"/>
    <s v="Free"/>
    <n v="0"/>
    <n v="0"/>
    <n v="0"/>
    <x v="0"/>
    <n v="0"/>
    <n v="1"/>
    <n v="1"/>
    <n v="0"/>
    <m/>
    <n v="66.7"/>
  </r>
  <r>
    <s v="USR-101164"/>
    <d v="2025-02-24T00:00:00"/>
    <x v="1"/>
    <s v="North"/>
    <s v="Mobile"/>
    <s v="Paid Search"/>
    <s v="Free"/>
    <n v="0"/>
    <n v="0"/>
    <n v="0"/>
    <x v="0"/>
    <n v="0"/>
    <n v="1"/>
    <n v="1"/>
    <n v="0"/>
    <m/>
    <n v="73.7"/>
  </r>
  <r>
    <s v="USR-101165"/>
    <d v="2025-03-01T00:00:00"/>
    <x v="1"/>
    <s v="West"/>
    <s v="Desktop"/>
    <s v="Organic"/>
    <s v="Basic"/>
    <n v="1"/>
    <n v="1"/>
    <n v="1"/>
    <x v="0"/>
    <n v="0"/>
    <n v="0"/>
    <n v="0"/>
    <n v="0"/>
    <m/>
    <n v="63.9"/>
  </r>
  <r>
    <s v="USR-101166"/>
    <d v="2025-03-26T00:00:00"/>
    <x v="1"/>
    <s v="South"/>
    <s v="Tablet"/>
    <s v="Organic"/>
    <s v="Basic"/>
    <n v="1"/>
    <n v="0"/>
    <n v="0"/>
    <x v="0"/>
    <n v="0"/>
    <n v="1"/>
    <n v="1"/>
    <n v="0"/>
    <m/>
    <n v="82.6"/>
  </r>
  <r>
    <s v="USR-101167"/>
    <d v="2025-05-25T00:00:00"/>
    <x v="1"/>
    <s v="East"/>
    <s v="Mobile"/>
    <s v="Paid Search"/>
    <s v="Free"/>
    <n v="0"/>
    <n v="0"/>
    <n v="0"/>
    <x v="0"/>
    <n v="0"/>
    <n v="1"/>
    <n v="1"/>
    <n v="0"/>
    <m/>
    <n v="58.3"/>
  </r>
  <r>
    <s v="USR-101168"/>
    <d v="2025-02-25T00:00:00"/>
    <x v="1"/>
    <s v="West"/>
    <s v="Mobile"/>
    <s v="Referral"/>
    <s v="Premium"/>
    <n v="1"/>
    <n v="1"/>
    <n v="1"/>
    <x v="1"/>
    <n v="1547.06"/>
    <n v="0"/>
    <n v="0"/>
    <n v="1"/>
    <n v="2"/>
    <n v="72.900000000000006"/>
  </r>
  <r>
    <s v="USR-101169"/>
    <d v="2025-03-23T00:00:00"/>
    <x v="1"/>
    <s v="South"/>
    <s v="Mobile"/>
    <s v="Social"/>
    <s v="Free"/>
    <n v="1"/>
    <n v="1"/>
    <n v="1"/>
    <x v="0"/>
    <n v="0"/>
    <n v="2"/>
    <n v="1"/>
    <n v="0"/>
    <m/>
    <n v="53.5"/>
  </r>
  <r>
    <s v="USR-101170"/>
    <d v="2025-04-21T00:00:00"/>
    <x v="1"/>
    <s v="West"/>
    <s v="Mobile"/>
    <s v="Referral"/>
    <s v="Free"/>
    <n v="1"/>
    <n v="0"/>
    <n v="0"/>
    <x v="0"/>
    <n v="0"/>
    <n v="0"/>
    <n v="0"/>
    <n v="0"/>
    <m/>
    <n v="54.8"/>
  </r>
  <r>
    <s v="USR-101171"/>
    <d v="2025-05-21T00:00:00"/>
    <x v="1"/>
    <s v="North"/>
    <s v="Mobile"/>
    <s v="Organic"/>
    <s v="Premium"/>
    <n v="1"/>
    <n v="0"/>
    <n v="0"/>
    <x v="0"/>
    <n v="0"/>
    <n v="0"/>
    <n v="0"/>
    <n v="0"/>
    <m/>
    <n v="69.5"/>
  </r>
  <r>
    <s v="USR-101172"/>
    <d v="2025-04-25T00:00:00"/>
    <x v="1"/>
    <s v="North"/>
    <s v="Desktop"/>
    <s v="Social"/>
    <s v="Free"/>
    <n v="1"/>
    <n v="0"/>
    <n v="0"/>
    <x v="0"/>
    <n v="0"/>
    <n v="1"/>
    <n v="1"/>
    <n v="0"/>
    <m/>
    <n v="71.3"/>
  </r>
  <r>
    <s v="USR-101173"/>
    <d v="2025-05-23T00:00:00"/>
    <x v="1"/>
    <s v="West"/>
    <s v="Mobile"/>
    <s v="Referral"/>
    <s v="Basic"/>
    <n v="1"/>
    <n v="0"/>
    <n v="0"/>
    <x v="0"/>
    <n v="0"/>
    <n v="1"/>
    <n v="1"/>
    <n v="0"/>
    <m/>
    <n v="57.5"/>
  </r>
  <r>
    <s v="USR-101174"/>
    <d v="2025-03-18T00:00:00"/>
    <x v="1"/>
    <s v="South"/>
    <s v="Mobile"/>
    <s v="Email"/>
    <s v="Free"/>
    <n v="1"/>
    <n v="0"/>
    <n v="0"/>
    <x v="0"/>
    <n v="0"/>
    <n v="4"/>
    <n v="1"/>
    <n v="0"/>
    <m/>
    <n v="50.9"/>
  </r>
  <r>
    <s v="USR-101175"/>
    <d v="2025-01-03T00:00:00"/>
    <x v="1"/>
    <s v="South"/>
    <s v="Tablet"/>
    <s v="Organic"/>
    <s v="Free"/>
    <n v="1"/>
    <n v="1"/>
    <n v="1"/>
    <x v="0"/>
    <n v="0"/>
    <n v="0"/>
    <n v="0"/>
    <n v="0"/>
    <m/>
    <n v="69.3"/>
  </r>
  <r>
    <s v="USR-101176"/>
    <d v="2025-02-08T00:00:00"/>
    <x v="1"/>
    <s v="West"/>
    <s v="Desktop"/>
    <s v="Organic"/>
    <s v="Free"/>
    <n v="1"/>
    <n v="0"/>
    <n v="0"/>
    <x v="0"/>
    <n v="0"/>
    <n v="0"/>
    <n v="0"/>
    <n v="0"/>
    <m/>
    <n v="50.1"/>
  </r>
  <r>
    <s v="USR-101177"/>
    <d v="2025-02-04T00:00:00"/>
    <x v="1"/>
    <s v="East"/>
    <m/>
    <s v="Paid Search"/>
    <s v="Basic"/>
    <n v="0"/>
    <n v="0"/>
    <n v="0"/>
    <x v="0"/>
    <n v="0"/>
    <n v="0"/>
    <n v="0"/>
    <n v="0"/>
    <m/>
    <n v="69.7"/>
  </r>
  <r>
    <s v="USR-101178"/>
    <d v="2025-01-16T00:00:00"/>
    <x v="1"/>
    <s v="North"/>
    <s v="Mobile"/>
    <s v="Paid Search"/>
    <s v="Free"/>
    <n v="0"/>
    <n v="0"/>
    <n v="0"/>
    <x v="0"/>
    <n v="0"/>
    <n v="0"/>
    <n v="0"/>
    <n v="0"/>
    <m/>
    <n v="63.5"/>
  </r>
  <r>
    <s v="USR-101179"/>
    <d v="2025-04-04T00:00:00"/>
    <x v="1"/>
    <s v="West"/>
    <s v="Desktop"/>
    <s v="Paid Search"/>
    <s v="Free"/>
    <n v="1"/>
    <n v="1"/>
    <n v="1"/>
    <x v="1"/>
    <n v="265.58999999999997"/>
    <n v="1"/>
    <n v="1"/>
    <n v="0"/>
    <n v="8"/>
    <n v="80.400000000000006"/>
  </r>
  <r>
    <s v="USR-101180"/>
    <d v="2025-01-23T00:00:00"/>
    <x v="1"/>
    <s v="North"/>
    <s v="Desktop"/>
    <s v="Paid Search"/>
    <s v="Free"/>
    <n v="0"/>
    <n v="0"/>
    <n v="0"/>
    <x v="0"/>
    <n v="0"/>
    <n v="0"/>
    <n v="0"/>
    <n v="0"/>
    <m/>
    <n v="58.9"/>
  </r>
  <r>
    <s v="USR-101181"/>
    <d v="2025-03-22T00:00:00"/>
    <x v="1"/>
    <s v="South"/>
    <s v="Desktop"/>
    <s v="Paid Search"/>
    <s v="Free"/>
    <n v="1"/>
    <n v="0"/>
    <n v="0"/>
    <x v="0"/>
    <n v="0"/>
    <n v="0"/>
    <n v="0"/>
    <n v="0"/>
    <m/>
    <n v="56.8"/>
  </r>
  <r>
    <s v="USR-101182"/>
    <d v="2025-02-02T00:00:00"/>
    <x v="1"/>
    <s v="East"/>
    <s v="Tablet"/>
    <s v="Social"/>
    <s v="Premium"/>
    <n v="0"/>
    <n v="0"/>
    <n v="0"/>
    <x v="0"/>
    <n v="0"/>
    <n v="0"/>
    <n v="0"/>
    <n v="0"/>
    <m/>
    <n v="73.900000000000006"/>
  </r>
  <r>
    <s v="USR-101183"/>
    <d v="2025-01-31T00:00:00"/>
    <x v="1"/>
    <s v="North"/>
    <s v="Desktop"/>
    <s v="Paid Search"/>
    <s v="Free"/>
    <n v="0"/>
    <n v="0"/>
    <n v="0"/>
    <x v="0"/>
    <n v="0"/>
    <n v="0"/>
    <n v="0"/>
    <n v="0"/>
    <m/>
    <n v="76.3"/>
  </r>
  <r>
    <s v="USR-101184"/>
    <d v="2025-05-27T00:00:00"/>
    <x v="1"/>
    <s v="West"/>
    <s v="Mobile"/>
    <s v="Organic"/>
    <s v="Basic"/>
    <n v="1"/>
    <n v="0"/>
    <n v="0"/>
    <x v="0"/>
    <n v="0"/>
    <n v="0"/>
    <n v="0"/>
    <n v="0"/>
    <m/>
    <n v="56.9"/>
  </r>
  <r>
    <s v="USR-101185"/>
    <d v="2025-05-07T00:00:00"/>
    <x v="1"/>
    <s v="North"/>
    <s v="Mobile"/>
    <s v="Organic"/>
    <s v="Premium"/>
    <n v="1"/>
    <n v="0"/>
    <n v="0"/>
    <x v="0"/>
    <n v="0"/>
    <n v="2"/>
    <n v="1"/>
    <n v="0"/>
    <m/>
    <n v="49.4"/>
  </r>
  <r>
    <s v="USR-101186"/>
    <d v="2025-05-08T00:00:00"/>
    <x v="1"/>
    <s v="North"/>
    <s v="Desktop"/>
    <s v="Paid Search"/>
    <s v="Basic"/>
    <n v="1"/>
    <n v="0"/>
    <n v="0"/>
    <x v="0"/>
    <n v="0"/>
    <n v="0"/>
    <n v="0"/>
    <n v="0"/>
    <m/>
    <n v="86.7"/>
  </r>
  <r>
    <s v="USR-101187"/>
    <d v="2025-01-15T00:00:00"/>
    <x v="1"/>
    <s v="West"/>
    <s v="Desktop"/>
    <s v="Email"/>
    <s v="Free"/>
    <n v="1"/>
    <n v="0"/>
    <n v="0"/>
    <x v="0"/>
    <n v="0"/>
    <n v="3"/>
    <n v="1"/>
    <n v="0"/>
    <m/>
    <n v="69"/>
  </r>
  <r>
    <s v="USR-101188"/>
    <d v="2025-01-18T00:00:00"/>
    <x v="1"/>
    <s v="North"/>
    <s v="Mobile"/>
    <s v="Paid Search"/>
    <s v="Free"/>
    <n v="0"/>
    <n v="0"/>
    <n v="0"/>
    <x v="0"/>
    <n v="0"/>
    <n v="0"/>
    <n v="0"/>
    <n v="0"/>
    <m/>
    <n v="84.5"/>
  </r>
  <r>
    <s v="USR-101189"/>
    <d v="2025-04-16T00:00:00"/>
    <x v="1"/>
    <s v="East"/>
    <m/>
    <s v="Referral"/>
    <s v="Free"/>
    <n v="1"/>
    <n v="0"/>
    <n v="0"/>
    <x v="0"/>
    <n v="0"/>
    <n v="0"/>
    <n v="0"/>
    <n v="0"/>
    <m/>
    <n v="66.3"/>
  </r>
  <r>
    <s v="USR-101190"/>
    <d v="2025-02-16T00:00:00"/>
    <x v="1"/>
    <s v="East"/>
    <s v="Desktop"/>
    <s v="Paid Search"/>
    <s v="Free"/>
    <n v="0"/>
    <n v="0"/>
    <n v="0"/>
    <x v="0"/>
    <n v="0"/>
    <n v="0"/>
    <n v="0"/>
    <n v="0"/>
    <m/>
    <n v="52.2"/>
  </r>
  <r>
    <s v="USR-101191"/>
    <d v="2025-04-17T00:00:00"/>
    <x v="1"/>
    <s v="South"/>
    <s v="Desktop"/>
    <s v="Referral"/>
    <s v="Premium"/>
    <n v="1"/>
    <n v="1"/>
    <n v="1"/>
    <x v="0"/>
    <n v="0"/>
    <n v="0"/>
    <n v="0"/>
    <n v="0"/>
    <m/>
    <n v="81.2"/>
  </r>
  <r>
    <s v="USR-101192"/>
    <d v="2025-04-30T00:00:00"/>
    <x v="1"/>
    <s v="South"/>
    <s v="Mobile"/>
    <s v="Organic"/>
    <s v="Basic"/>
    <n v="0"/>
    <n v="0"/>
    <n v="0"/>
    <x v="0"/>
    <n v="0"/>
    <n v="0"/>
    <n v="0"/>
    <n v="0"/>
    <m/>
    <n v="53.9"/>
  </r>
  <r>
    <s v="USR-101193"/>
    <d v="2025-01-29T00:00:00"/>
    <x v="1"/>
    <s v="West"/>
    <s v="Mobile"/>
    <s v="Social"/>
    <s v="Premium"/>
    <n v="0"/>
    <n v="0"/>
    <n v="0"/>
    <x v="0"/>
    <n v="0"/>
    <n v="0"/>
    <n v="0"/>
    <n v="0"/>
    <m/>
    <n v="39.1"/>
  </r>
  <r>
    <s v="USR-101194"/>
    <d v="2025-01-11T00:00:00"/>
    <x v="1"/>
    <s v="North"/>
    <s v="Mobile"/>
    <s v="Social"/>
    <s v="Basic"/>
    <n v="0"/>
    <n v="0"/>
    <n v="0"/>
    <x v="0"/>
    <n v="0"/>
    <n v="0"/>
    <n v="0"/>
    <n v="0"/>
    <m/>
    <n v="57.3"/>
  </r>
  <r>
    <s v="USR-101195"/>
    <d v="2025-04-08T00:00:00"/>
    <x v="1"/>
    <s v="East"/>
    <s v="Desktop"/>
    <s v="Paid Search"/>
    <s v="Premium"/>
    <n v="1"/>
    <n v="0"/>
    <n v="0"/>
    <x v="0"/>
    <n v="0"/>
    <n v="1"/>
    <n v="1"/>
    <n v="0"/>
    <m/>
    <n v="65.900000000000006"/>
  </r>
  <r>
    <s v="USR-101196"/>
    <d v="2025-02-22T00:00:00"/>
    <x v="1"/>
    <s v="North"/>
    <m/>
    <s v="Social"/>
    <s v="Free"/>
    <n v="1"/>
    <n v="0"/>
    <n v="0"/>
    <x v="0"/>
    <n v="0"/>
    <n v="1"/>
    <n v="1"/>
    <n v="0"/>
    <m/>
    <n v="34.200000000000003"/>
  </r>
  <r>
    <s v="USR-101197"/>
    <d v="2025-03-23T00:00:00"/>
    <x v="1"/>
    <s v="South"/>
    <s v="Mobile"/>
    <s v="Organic"/>
    <s v="Free"/>
    <n v="0"/>
    <n v="0"/>
    <n v="0"/>
    <x v="0"/>
    <n v="0"/>
    <n v="0"/>
    <n v="0"/>
    <n v="0"/>
    <m/>
    <n v="47.2"/>
  </r>
  <r>
    <s v="USR-101198"/>
    <d v="2025-05-23T00:00:00"/>
    <x v="1"/>
    <s v="South"/>
    <s v="Tablet"/>
    <s v="Paid Search"/>
    <s v="Free"/>
    <n v="1"/>
    <n v="0"/>
    <n v="0"/>
    <x v="0"/>
    <n v="0"/>
    <n v="1"/>
    <n v="1"/>
    <n v="0"/>
    <m/>
    <n v="55"/>
  </r>
  <r>
    <s v="USR-101199"/>
    <d v="2025-04-27T00:00:00"/>
    <x v="1"/>
    <s v="West"/>
    <s v="Mobile"/>
    <s v="Referral"/>
    <s v="Basic"/>
    <n v="1"/>
    <n v="1"/>
    <n v="1"/>
    <x v="0"/>
    <n v="0"/>
    <n v="0"/>
    <n v="0"/>
    <n v="0"/>
    <m/>
    <n v="76.400000000000006"/>
  </r>
  <r>
    <s v="USR-101200"/>
    <d v="2025-05-26T00:00:00"/>
    <x v="1"/>
    <s v="North"/>
    <s v="Mobile"/>
    <s v="Referral"/>
    <s v="Free"/>
    <n v="1"/>
    <n v="0"/>
    <n v="0"/>
    <x v="0"/>
    <n v="0"/>
    <n v="0"/>
    <n v="0"/>
    <n v="0"/>
    <m/>
    <n v="70.8"/>
  </r>
  <r>
    <s v="USR-101201"/>
    <d v="2025-03-06T00:00:00"/>
    <x v="1"/>
    <s v="East"/>
    <s v="Mobile"/>
    <s v="Paid Search"/>
    <s v="Basic"/>
    <n v="1"/>
    <n v="1"/>
    <n v="0"/>
    <x v="0"/>
    <n v="0"/>
    <n v="1"/>
    <n v="1"/>
    <n v="0"/>
    <m/>
    <n v="58"/>
  </r>
  <r>
    <s v="USR-101202"/>
    <d v="2025-04-03T00:00:00"/>
    <x v="1"/>
    <s v="West"/>
    <s v="Mobile"/>
    <s v="Organic"/>
    <s v="Basic"/>
    <n v="1"/>
    <n v="1"/>
    <n v="1"/>
    <x v="0"/>
    <n v="0"/>
    <n v="1"/>
    <n v="1"/>
    <n v="0"/>
    <m/>
    <n v="70.8"/>
  </r>
  <r>
    <s v="USR-101203"/>
    <d v="2025-02-01T00:00:00"/>
    <x v="1"/>
    <s v="East"/>
    <s v="Desktop"/>
    <s v="Paid Search"/>
    <s v="Free"/>
    <n v="1"/>
    <n v="0"/>
    <n v="0"/>
    <x v="0"/>
    <n v="0"/>
    <n v="3"/>
    <n v="1"/>
    <n v="0"/>
    <m/>
    <n v="60"/>
  </r>
  <r>
    <s v="USR-101204"/>
    <d v="2025-05-01T00:00:00"/>
    <x v="1"/>
    <s v="West"/>
    <s v="Mobile"/>
    <s v="Referral"/>
    <s v="Premium"/>
    <n v="1"/>
    <n v="1"/>
    <n v="1"/>
    <x v="0"/>
    <n v="0"/>
    <n v="3"/>
    <n v="1"/>
    <n v="0"/>
    <m/>
    <n v="58.1"/>
  </r>
  <r>
    <s v="USR-101205"/>
    <d v="2025-04-13T00:00:00"/>
    <x v="1"/>
    <s v="North"/>
    <s v="Mobile"/>
    <s v="Social"/>
    <s v="Premium"/>
    <n v="0"/>
    <n v="0"/>
    <n v="0"/>
    <x v="0"/>
    <n v="0"/>
    <n v="0"/>
    <n v="0"/>
    <n v="0"/>
    <m/>
    <n v="59.7"/>
  </r>
  <r>
    <s v="USR-101206"/>
    <d v="2025-01-25T00:00:00"/>
    <x v="1"/>
    <s v="East"/>
    <s v="Mobile"/>
    <s v="Social"/>
    <s v="Free"/>
    <n v="0"/>
    <n v="0"/>
    <n v="0"/>
    <x v="0"/>
    <n v="0"/>
    <n v="0"/>
    <n v="0"/>
    <n v="0"/>
    <m/>
    <n v="47.7"/>
  </r>
  <r>
    <s v="USR-101207"/>
    <d v="2025-03-17T00:00:00"/>
    <x v="1"/>
    <s v="North"/>
    <s v="Mobile"/>
    <s v="Organic"/>
    <s v="Free"/>
    <n v="0"/>
    <n v="0"/>
    <n v="0"/>
    <x v="0"/>
    <n v="0"/>
    <n v="0"/>
    <n v="0"/>
    <n v="0"/>
    <m/>
    <n v="59.1"/>
  </r>
  <r>
    <s v="USR-101208"/>
    <d v="2025-02-21T00:00:00"/>
    <x v="1"/>
    <s v="West"/>
    <s v="Desktop"/>
    <s v="Social"/>
    <s v="Basic"/>
    <n v="1"/>
    <n v="0"/>
    <n v="0"/>
    <x v="0"/>
    <n v="0"/>
    <n v="1"/>
    <n v="1"/>
    <n v="0"/>
    <m/>
    <n v="68.7"/>
  </r>
  <r>
    <s v="USR-101209"/>
    <d v="2025-04-08T00:00:00"/>
    <x v="1"/>
    <s v="East"/>
    <s v="Tablet"/>
    <s v="Organic"/>
    <s v="Basic"/>
    <n v="0"/>
    <n v="0"/>
    <n v="0"/>
    <x v="0"/>
    <n v="0"/>
    <n v="0"/>
    <n v="0"/>
    <n v="0"/>
    <m/>
    <n v="34.700000000000003"/>
  </r>
  <r>
    <s v="USR-100541"/>
    <d v="2025-05-22T00:00:00"/>
    <x v="0"/>
    <s v="North"/>
    <s v="Mobile"/>
    <s v="Paid Search"/>
    <s v="Basic"/>
    <n v="1"/>
    <n v="1"/>
    <n v="0"/>
    <x v="0"/>
    <n v="0"/>
    <n v="0"/>
    <n v="0"/>
    <n v="0"/>
    <m/>
    <n v="39.9"/>
  </r>
  <r>
    <s v="USR-101211"/>
    <d v="2025-05-29T00:00:00"/>
    <x v="1"/>
    <s v="South"/>
    <s v="Mobile"/>
    <s v="Organic"/>
    <s v="Free"/>
    <n v="1"/>
    <n v="1"/>
    <n v="0"/>
    <x v="0"/>
    <n v="0"/>
    <n v="0"/>
    <n v="0"/>
    <n v="0"/>
    <m/>
    <n v="56"/>
  </r>
  <r>
    <s v="USR-101212"/>
    <d v="2025-05-30T00:00:00"/>
    <x v="1"/>
    <s v="North"/>
    <s v="Mobile"/>
    <s v="Email"/>
    <s v="Basic"/>
    <n v="1"/>
    <n v="0"/>
    <n v="0"/>
    <x v="0"/>
    <n v="0"/>
    <n v="1"/>
    <n v="1"/>
    <n v="0"/>
    <m/>
    <n v="65.8"/>
  </r>
  <r>
    <s v="USR-101213"/>
    <d v="2025-01-24T00:00:00"/>
    <x v="1"/>
    <s v="North"/>
    <s v="Desktop"/>
    <s v="Organic"/>
    <s v="Premium"/>
    <n v="0"/>
    <n v="0"/>
    <n v="0"/>
    <x v="0"/>
    <n v="0"/>
    <n v="0"/>
    <n v="0"/>
    <n v="0"/>
    <m/>
    <n v="54.7"/>
  </r>
  <r>
    <s v="USR-101214"/>
    <d v="2025-05-12T00:00:00"/>
    <x v="1"/>
    <s v="South"/>
    <s v="Mobile"/>
    <s v="Organic"/>
    <s v="Basic"/>
    <n v="1"/>
    <n v="1"/>
    <n v="0"/>
    <x v="0"/>
    <n v="0"/>
    <n v="0"/>
    <n v="0"/>
    <n v="0"/>
    <m/>
    <n v="64.099999999999994"/>
  </r>
  <r>
    <s v="USR-101215"/>
    <d v="2025-03-28T00:00:00"/>
    <x v="1"/>
    <s v="South"/>
    <s v="Mobile"/>
    <s v="Organic"/>
    <s v="Basic"/>
    <n v="1"/>
    <n v="1"/>
    <n v="1"/>
    <x v="0"/>
    <n v="0"/>
    <n v="0"/>
    <n v="0"/>
    <n v="0"/>
    <m/>
    <n v="71.599999999999994"/>
  </r>
  <r>
    <s v="USR-101216"/>
    <d v="2025-04-14T00:00:00"/>
    <x v="1"/>
    <s v="North"/>
    <s v="Mobile"/>
    <s v="Referral"/>
    <s v="Basic"/>
    <n v="1"/>
    <n v="0"/>
    <n v="0"/>
    <x v="0"/>
    <n v="0"/>
    <n v="0"/>
    <n v="0"/>
    <n v="0"/>
    <m/>
    <n v="78.400000000000006"/>
  </r>
  <r>
    <s v="USR-101217"/>
    <d v="2025-01-28T00:00:00"/>
    <x v="1"/>
    <s v="East"/>
    <s v="Tablet"/>
    <s v="Referral"/>
    <s v="Basic"/>
    <n v="0"/>
    <n v="0"/>
    <n v="0"/>
    <x v="0"/>
    <n v="0"/>
    <n v="0"/>
    <n v="0"/>
    <n v="0"/>
    <m/>
    <n v="49.3"/>
  </r>
  <r>
    <s v="USR-101218"/>
    <d v="2025-05-21T00:00:00"/>
    <x v="1"/>
    <s v="North"/>
    <s v="Mobile"/>
    <s v="Organic"/>
    <s v="Basic"/>
    <n v="0"/>
    <n v="0"/>
    <n v="0"/>
    <x v="0"/>
    <n v="0"/>
    <n v="0"/>
    <n v="0"/>
    <n v="0"/>
    <m/>
    <n v="52.8"/>
  </r>
  <r>
    <s v="USR-101219"/>
    <d v="2025-05-11T00:00:00"/>
    <x v="1"/>
    <s v="West"/>
    <s v="Desktop"/>
    <s v="Organic"/>
    <s v="Free"/>
    <n v="0"/>
    <n v="0"/>
    <n v="0"/>
    <x v="0"/>
    <n v="0"/>
    <n v="0"/>
    <n v="0"/>
    <n v="0"/>
    <m/>
    <n v="58.5"/>
  </r>
  <r>
    <s v="USR-101220"/>
    <d v="2025-02-02T00:00:00"/>
    <x v="1"/>
    <s v="South"/>
    <s v="Mobile"/>
    <s v="Paid Search"/>
    <s v="Free"/>
    <n v="1"/>
    <n v="0"/>
    <n v="0"/>
    <x v="0"/>
    <n v="0"/>
    <n v="0"/>
    <n v="0"/>
    <n v="0"/>
    <m/>
    <n v="55.9"/>
  </r>
  <r>
    <s v="USR-101221"/>
    <d v="2025-02-26T00:00:00"/>
    <x v="1"/>
    <s v="North"/>
    <s v="Mobile"/>
    <s v="Social"/>
    <s v="Free"/>
    <n v="1"/>
    <n v="1"/>
    <n v="1"/>
    <x v="1"/>
    <n v="351.43"/>
    <n v="1"/>
    <n v="1"/>
    <n v="0"/>
    <n v="6"/>
    <n v="74.900000000000006"/>
  </r>
  <r>
    <s v="USR-101222"/>
    <d v="2025-02-27T00:00:00"/>
    <x v="1"/>
    <s v="South"/>
    <s v="Desktop"/>
    <s v="Referral"/>
    <s v="Free"/>
    <n v="1"/>
    <n v="1"/>
    <n v="1"/>
    <x v="1"/>
    <n v="352.42"/>
    <n v="0"/>
    <n v="0"/>
    <n v="0"/>
    <n v="4"/>
    <n v="58.5"/>
  </r>
  <r>
    <s v="USR-101223"/>
    <d v="2025-03-09T00:00:00"/>
    <x v="1"/>
    <s v="West"/>
    <s v="Mobile"/>
    <s v="Organic"/>
    <s v="Free"/>
    <n v="0"/>
    <n v="0"/>
    <n v="0"/>
    <x v="0"/>
    <n v="0"/>
    <n v="0"/>
    <n v="0"/>
    <n v="0"/>
    <m/>
    <n v="63.5"/>
  </r>
  <r>
    <s v="USR-101224"/>
    <d v="2025-02-07T00:00:00"/>
    <x v="1"/>
    <s v="North"/>
    <s v="Mobile"/>
    <s v="Paid Search"/>
    <s v="Basic"/>
    <n v="1"/>
    <n v="0"/>
    <n v="0"/>
    <x v="0"/>
    <n v="0"/>
    <n v="1"/>
    <n v="1"/>
    <n v="0"/>
    <m/>
    <n v="64.8"/>
  </r>
  <r>
    <s v="USR-101225"/>
    <d v="2025-01-31T00:00:00"/>
    <x v="1"/>
    <s v="West"/>
    <s v="Mobile"/>
    <s v="Social"/>
    <s v="Free"/>
    <n v="0"/>
    <n v="0"/>
    <n v="0"/>
    <x v="0"/>
    <n v="0"/>
    <n v="0"/>
    <n v="0"/>
    <n v="0"/>
    <m/>
    <n v="63.3"/>
  </r>
  <r>
    <s v="USR-101226"/>
    <d v="2025-02-14T00:00:00"/>
    <x v="1"/>
    <s v="North"/>
    <s v="Tablet"/>
    <s v="Paid Search"/>
    <s v="Basic"/>
    <n v="1"/>
    <n v="1"/>
    <n v="1"/>
    <x v="1"/>
    <n v="1074.1600000000001"/>
    <n v="0"/>
    <n v="0"/>
    <n v="0"/>
    <n v="8"/>
    <n v="83.7"/>
  </r>
  <r>
    <s v="USR-101227"/>
    <d v="2025-02-12T00:00:00"/>
    <x v="1"/>
    <s v="South"/>
    <s v="Desktop"/>
    <s v="Social"/>
    <s v="Basic"/>
    <n v="0"/>
    <n v="0"/>
    <n v="0"/>
    <x v="0"/>
    <n v="0"/>
    <n v="0"/>
    <n v="0"/>
    <n v="0"/>
    <m/>
    <n v="88.7"/>
  </r>
  <r>
    <s v="USR-101228"/>
    <d v="2025-03-23T00:00:00"/>
    <x v="1"/>
    <s v="East"/>
    <m/>
    <s v="Paid Search"/>
    <s v="Free"/>
    <n v="1"/>
    <n v="0"/>
    <n v="0"/>
    <x v="0"/>
    <n v="0"/>
    <n v="1"/>
    <n v="1"/>
    <n v="0"/>
    <m/>
    <n v="61.5"/>
  </r>
  <r>
    <s v="USR-101229"/>
    <d v="2025-03-18T00:00:00"/>
    <x v="1"/>
    <s v="West"/>
    <s v="Mobile"/>
    <s v="Paid Search"/>
    <s v="Free"/>
    <n v="0"/>
    <n v="0"/>
    <n v="0"/>
    <x v="0"/>
    <n v="0"/>
    <n v="0"/>
    <n v="0"/>
    <n v="0"/>
    <m/>
    <n v="45.3"/>
  </r>
  <r>
    <s v="USR-101230"/>
    <d v="2025-05-17T00:00:00"/>
    <x v="1"/>
    <s v="North"/>
    <s v="Mobile"/>
    <s v="Social"/>
    <s v="Free"/>
    <n v="1"/>
    <n v="0"/>
    <n v="0"/>
    <x v="0"/>
    <n v="0"/>
    <n v="0"/>
    <n v="0"/>
    <n v="0"/>
    <m/>
    <n v="37.299999999999997"/>
  </r>
  <r>
    <s v="USR-101231"/>
    <d v="2025-03-26T00:00:00"/>
    <x v="1"/>
    <s v="West"/>
    <s v="Desktop"/>
    <s v="Social"/>
    <s v="Premium"/>
    <n v="1"/>
    <n v="0"/>
    <n v="0"/>
    <x v="0"/>
    <n v="0"/>
    <n v="1"/>
    <n v="1"/>
    <n v="0"/>
    <m/>
    <n v="76.099999999999994"/>
  </r>
  <r>
    <s v="USR-100917"/>
    <d v="2025-02-23T00:00:00"/>
    <x v="1"/>
    <s v="West"/>
    <s v="Desktop"/>
    <s v="Social"/>
    <s v="Basic"/>
    <n v="1"/>
    <n v="1"/>
    <n v="1"/>
    <x v="0"/>
    <n v="0"/>
    <n v="0"/>
    <n v="0"/>
    <n v="0"/>
    <m/>
    <n v="70.599999999999994"/>
  </r>
  <r>
    <s v="USR-101233"/>
    <d v="2025-02-25T00:00:00"/>
    <x v="1"/>
    <s v="East"/>
    <s v="Desktop"/>
    <s v="Organic"/>
    <s v="Free"/>
    <n v="1"/>
    <n v="0"/>
    <n v="0"/>
    <x v="0"/>
    <n v="0"/>
    <n v="0"/>
    <n v="0"/>
    <n v="0"/>
    <m/>
    <n v="62.3"/>
  </r>
  <r>
    <s v="USR-101234"/>
    <d v="2025-03-01T00:00:00"/>
    <x v="1"/>
    <s v="East"/>
    <s v="Desktop"/>
    <s v="Social"/>
    <s v="Free"/>
    <n v="0"/>
    <n v="0"/>
    <n v="0"/>
    <x v="0"/>
    <n v="0"/>
    <n v="0"/>
    <n v="0"/>
    <n v="0"/>
    <m/>
    <n v="62.7"/>
  </r>
  <r>
    <s v="USR-101235"/>
    <d v="2025-05-27T00:00:00"/>
    <x v="1"/>
    <s v="North"/>
    <s v="Mobile"/>
    <s v="Paid Search"/>
    <s v="Basic"/>
    <n v="0"/>
    <n v="0"/>
    <n v="0"/>
    <x v="0"/>
    <n v="0"/>
    <n v="0"/>
    <n v="0"/>
    <n v="0"/>
    <m/>
    <n v="82.4"/>
  </r>
  <r>
    <s v="USR-101236"/>
    <d v="2025-02-05T00:00:00"/>
    <x v="1"/>
    <s v="West"/>
    <s v="Mobile"/>
    <m/>
    <s v="Premium"/>
    <n v="1"/>
    <n v="0"/>
    <n v="0"/>
    <x v="0"/>
    <n v="0"/>
    <n v="0"/>
    <n v="0"/>
    <n v="0"/>
    <m/>
    <n v="78.900000000000006"/>
  </r>
  <r>
    <s v="USR-101237"/>
    <d v="2025-01-25T00:00:00"/>
    <x v="1"/>
    <s v="West"/>
    <s v="Desktop"/>
    <s v="Email"/>
    <s v="Free"/>
    <n v="1"/>
    <n v="1"/>
    <n v="1"/>
    <x v="1"/>
    <n v="618.91"/>
    <n v="0"/>
    <n v="0"/>
    <n v="0"/>
    <n v="4"/>
    <n v="67.8"/>
  </r>
  <r>
    <s v="USR-101238"/>
    <d v="2025-04-10T00:00:00"/>
    <x v="1"/>
    <s v="East"/>
    <s v="Mobile"/>
    <s v="Organic"/>
    <s v="Premium"/>
    <n v="1"/>
    <n v="0"/>
    <n v="0"/>
    <x v="0"/>
    <n v="0"/>
    <n v="0"/>
    <n v="0"/>
    <n v="0"/>
    <m/>
    <n v="68.8"/>
  </r>
  <r>
    <s v="USR-101239"/>
    <d v="2025-01-10T00:00:00"/>
    <x v="1"/>
    <s v="East"/>
    <s v="Mobile"/>
    <s v="Organic"/>
    <s v="Premium"/>
    <n v="1"/>
    <n v="0"/>
    <n v="0"/>
    <x v="0"/>
    <n v="0"/>
    <n v="0"/>
    <n v="0"/>
    <n v="0"/>
    <m/>
    <n v="67.7"/>
  </r>
  <r>
    <s v="USR-101240"/>
    <d v="2025-02-23T00:00:00"/>
    <x v="1"/>
    <s v="East"/>
    <s v="Mobile"/>
    <m/>
    <s v="Free"/>
    <n v="0"/>
    <n v="0"/>
    <n v="0"/>
    <x v="0"/>
    <n v="0"/>
    <n v="0"/>
    <n v="0"/>
    <n v="0"/>
    <m/>
    <n v="88"/>
  </r>
  <r>
    <s v="USR-101241"/>
    <d v="2025-05-23T00:00:00"/>
    <x v="1"/>
    <s v="West"/>
    <s v="Desktop"/>
    <s v="Organic"/>
    <s v="Basic"/>
    <n v="1"/>
    <n v="1"/>
    <n v="0"/>
    <x v="0"/>
    <n v="0"/>
    <n v="0"/>
    <n v="0"/>
    <n v="0"/>
    <m/>
    <n v="80.099999999999994"/>
  </r>
  <r>
    <s v="USR-101242"/>
    <d v="2025-03-08T00:00:00"/>
    <x v="1"/>
    <s v="North"/>
    <s v="Tablet"/>
    <s v="Email"/>
    <s v="Basic"/>
    <n v="0"/>
    <n v="0"/>
    <n v="0"/>
    <x v="0"/>
    <n v="0"/>
    <n v="1"/>
    <n v="1"/>
    <n v="0"/>
    <m/>
    <n v="48.2"/>
  </r>
  <r>
    <s v="USR-101243"/>
    <d v="2025-05-21T00:00:00"/>
    <x v="1"/>
    <s v="East"/>
    <s v="Mobile"/>
    <s v="Organic"/>
    <s v="Basic"/>
    <n v="1"/>
    <n v="0"/>
    <n v="0"/>
    <x v="0"/>
    <n v="0"/>
    <n v="0"/>
    <n v="0"/>
    <n v="0"/>
    <m/>
    <n v="52.7"/>
  </r>
  <r>
    <s v="USR-101244"/>
    <d v="2025-04-22T00:00:00"/>
    <x v="1"/>
    <s v="North"/>
    <s v="Mobile"/>
    <s v="Email"/>
    <s v="Basic"/>
    <n v="1"/>
    <n v="1"/>
    <n v="0"/>
    <x v="0"/>
    <n v="0"/>
    <n v="0"/>
    <n v="0"/>
    <n v="0"/>
    <m/>
    <n v="59.9"/>
  </r>
  <r>
    <s v="USR-101245"/>
    <d v="2025-04-16T00:00:00"/>
    <x v="1"/>
    <s v="North"/>
    <s v="Mobile"/>
    <s v="Email"/>
    <s v="Premium"/>
    <n v="1"/>
    <n v="0"/>
    <n v="0"/>
    <x v="0"/>
    <n v="0"/>
    <n v="0"/>
    <n v="0"/>
    <n v="0"/>
    <m/>
    <n v="49.5"/>
  </r>
  <r>
    <s v="USR-101246"/>
    <d v="2025-05-08T00:00:00"/>
    <x v="1"/>
    <s v="North"/>
    <s v="Tablet"/>
    <s v="Organic"/>
    <s v="Free"/>
    <n v="1"/>
    <n v="0"/>
    <n v="0"/>
    <x v="0"/>
    <n v="0"/>
    <n v="0"/>
    <n v="0"/>
    <n v="0"/>
    <m/>
    <n v="41.5"/>
  </r>
  <r>
    <s v="USR-101247"/>
    <d v="2025-05-22T00:00:00"/>
    <x v="1"/>
    <s v="North"/>
    <s v="Mobile"/>
    <s v="Paid Search"/>
    <s v="Basic"/>
    <n v="1"/>
    <n v="0"/>
    <n v="0"/>
    <x v="0"/>
    <n v="0"/>
    <n v="0"/>
    <n v="0"/>
    <n v="0"/>
    <m/>
    <n v="71.2"/>
  </r>
  <r>
    <s v="USR-101248"/>
    <d v="2025-03-21T00:00:00"/>
    <x v="1"/>
    <s v="North"/>
    <s v="Mobile"/>
    <s v="Referral"/>
    <s v="Basic"/>
    <n v="1"/>
    <n v="1"/>
    <n v="1"/>
    <x v="0"/>
    <n v="0"/>
    <n v="0"/>
    <n v="0"/>
    <n v="0"/>
    <m/>
    <n v="65.8"/>
  </r>
  <r>
    <s v="USR-101249"/>
    <d v="2025-03-22T00:00:00"/>
    <x v="1"/>
    <s v="East"/>
    <s v="Mobile"/>
    <s v="Organic"/>
    <s v="Basic"/>
    <n v="1"/>
    <n v="0"/>
    <n v="0"/>
    <x v="0"/>
    <n v="0"/>
    <n v="1"/>
    <n v="1"/>
    <n v="0"/>
    <m/>
    <n v="55.1"/>
  </r>
  <r>
    <s v="USR-101250"/>
    <d v="2025-01-10T00:00:00"/>
    <x v="1"/>
    <s v="West"/>
    <s v="Desktop"/>
    <s v="Social"/>
    <s v="Free"/>
    <n v="1"/>
    <n v="0"/>
    <n v="0"/>
    <x v="0"/>
    <n v="0"/>
    <n v="0"/>
    <n v="0"/>
    <n v="0"/>
    <m/>
    <n v="54.6"/>
  </r>
  <r>
    <s v="USR-101251"/>
    <d v="2025-02-01T00:00:00"/>
    <x v="1"/>
    <s v="East"/>
    <s v="Mobile"/>
    <s v="Organic"/>
    <s v="Basic"/>
    <n v="1"/>
    <n v="1"/>
    <n v="1"/>
    <x v="1"/>
    <n v="923.67"/>
    <n v="0"/>
    <n v="0"/>
    <n v="0"/>
    <n v="4"/>
    <n v="81.900000000000006"/>
  </r>
  <r>
    <s v="USR-101252"/>
    <d v="2025-03-31T00:00:00"/>
    <x v="1"/>
    <s v="South"/>
    <s v="Mobile"/>
    <s v="Paid Search"/>
    <s v="Basic"/>
    <n v="1"/>
    <n v="1"/>
    <n v="0"/>
    <x v="0"/>
    <n v="0"/>
    <n v="3"/>
    <n v="1"/>
    <n v="0"/>
    <m/>
    <n v="63.2"/>
  </r>
  <r>
    <s v="USR-101253"/>
    <d v="2025-04-25T00:00:00"/>
    <x v="1"/>
    <s v="North"/>
    <s v="Mobile"/>
    <s v="Paid Search"/>
    <s v="Free"/>
    <n v="1"/>
    <n v="0"/>
    <n v="0"/>
    <x v="0"/>
    <n v="0"/>
    <n v="0"/>
    <n v="0"/>
    <n v="0"/>
    <m/>
    <n v="55.4"/>
  </r>
  <r>
    <s v="USR-101254"/>
    <d v="2025-05-02T00:00:00"/>
    <x v="1"/>
    <s v="West"/>
    <s v="Mobile"/>
    <s v="Social"/>
    <s v="Basic"/>
    <n v="0"/>
    <n v="0"/>
    <n v="0"/>
    <x v="0"/>
    <n v="0"/>
    <n v="0"/>
    <n v="0"/>
    <n v="0"/>
    <m/>
    <n v="87.5"/>
  </r>
  <r>
    <s v="USR-101255"/>
    <d v="2025-03-08T00:00:00"/>
    <x v="1"/>
    <s v="South"/>
    <s v="Desktop"/>
    <s v="Social"/>
    <s v="Basic"/>
    <n v="1"/>
    <n v="0"/>
    <n v="0"/>
    <x v="0"/>
    <n v="0"/>
    <n v="0"/>
    <n v="0"/>
    <n v="0"/>
    <m/>
    <n v="48.5"/>
  </r>
  <r>
    <s v="USR-101256"/>
    <d v="2025-01-27T00:00:00"/>
    <x v="1"/>
    <s v="East"/>
    <s v="Desktop"/>
    <m/>
    <s v="Free"/>
    <n v="1"/>
    <n v="1"/>
    <n v="1"/>
    <x v="1"/>
    <n v="420.27"/>
    <n v="0"/>
    <n v="0"/>
    <n v="0"/>
    <n v="6"/>
    <n v="58.4"/>
  </r>
  <r>
    <s v="USR-101257"/>
    <d v="2025-04-27T00:00:00"/>
    <x v="1"/>
    <s v="West"/>
    <s v="Mobile"/>
    <s v="Paid Search"/>
    <s v="Free"/>
    <n v="0"/>
    <n v="0"/>
    <n v="0"/>
    <x v="0"/>
    <n v="0"/>
    <n v="0"/>
    <n v="0"/>
    <n v="0"/>
    <m/>
    <n v="59.5"/>
  </r>
  <r>
    <s v="USR-101258"/>
    <d v="2025-01-16T00:00:00"/>
    <x v="1"/>
    <s v="West"/>
    <s v="Desktop"/>
    <s v="Paid Search"/>
    <s v="Basic"/>
    <n v="1"/>
    <n v="0"/>
    <n v="0"/>
    <x v="0"/>
    <n v="0"/>
    <n v="0"/>
    <n v="0"/>
    <n v="0"/>
    <m/>
    <n v="93.2"/>
  </r>
  <r>
    <s v="USR-101259"/>
    <d v="2025-01-18T00:00:00"/>
    <x v="1"/>
    <s v="West"/>
    <s v="Desktop"/>
    <s v="Paid Search"/>
    <s v="Basic"/>
    <n v="1"/>
    <n v="0"/>
    <n v="0"/>
    <x v="0"/>
    <n v="0"/>
    <n v="0"/>
    <n v="0"/>
    <n v="0"/>
    <m/>
    <n v="59"/>
  </r>
  <r>
    <s v="USR-101260"/>
    <d v="2025-03-21T00:00:00"/>
    <x v="1"/>
    <s v="North"/>
    <s v="Mobile"/>
    <s v="Organic"/>
    <s v="Free"/>
    <n v="1"/>
    <n v="0"/>
    <n v="0"/>
    <x v="0"/>
    <n v="0"/>
    <n v="0"/>
    <n v="0"/>
    <n v="0"/>
    <m/>
    <n v="37"/>
  </r>
  <r>
    <s v="USR-101261"/>
    <d v="2025-04-02T00:00:00"/>
    <x v="1"/>
    <s v="North"/>
    <s v="Desktop"/>
    <s v="Paid Search"/>
    <s v="Free"/>
    <n v="1"/>
    <n v="0"/>
    <n v="0"/>
    <x v="0"/>
    <n v="0"/>
    <n v="0"/>
    <n v="0"/>
    <n v="0"/>
    <m/>
    <n v="47.5"/>
  </r>
  <r>
    <s v="USR-101262"/>
    <d v="2025-02-16T00:00:00"/>
    <x v="1"/>
    <s v="West"/>
    <s v="Desktop"/>
    <s v="Organic"/>
    <s v="Free"/>
    <n v="1"/>
    <n v="1"/>
    <n v="1"/>
    <x v="0"/>
    <n v="0"/>
    <n v="0"/>
    <n v="0"/>
    <n v="0"/>
    <m/>
    <n v="78.7"/>
  </r>
  <r>
    <s v="USR-101263"/>
    <d v="2025-02-18T00:00:00"/>
    <x v="1"/>
    <s v="North"/>
    <s v="Mobile"/>
    <s v="Social"/>
    <s v="Free"/>
    <n v="1"/>
    <n v="0"/>
    <n v="0"/>
    <x v="0"/>
    <n v="0"/>
    <n v="0"/>
    <n v="0"/>
    <n v="0"/>
    <m/>
    <n v="49.6"/>
  </r>
  <r>
    <s v="USR-101264"/>
    <d v="2025-01-09T00:00:00"/>
    <x v="1"/>
    <s v="East"/>
    <s v="Mobile"/>
    <s v="Organic"/>
    <s v="Free"/>
    <n v="1"/>
    <n v="0"/>
    <n v="0"/>
    <x v="0"/>
    <n v="0"/>
    <n v="0"/>
    <n v="0"/>
    <n v="0"/>
    <m/>
    <n v="58"/>
  </r>
  <r>
    <s v="USR-101265"/>
    <d v="2025-02-18T00:00:00"/>
    <x v="1"/>
    <s v="North"/>
    <s v="Desktop"/>
    <s v="Paid Search"/>
    <s v="Free"/>
    <n v="1"/>
    <n v="0"/>
    <n v="0"/>
    <x v="0"/>
    <n v="0"/>
    <n v="1"/>
    <n v="1"/>
    <n v="0"/>
    <m/>
    <n v="54.4"/>
  </r>
  <r>
    <s v="USR-101266"/>
    <d v="2025-01-10T00:00:00"/>
    <x v="1"/>
    <s v="East"/>
    <s v="Mobile"/>
    <s v="Referral"/>
    <s v="Free"/>
    <n v="0"/>
    <n v="0"/>
    <n v="0"/>
    <x v="0"/>
    <n v="0"/>
    <n v="0"/>
    <n v="0"/>
    <n v="0"/>
    <m/>
    <n v="33.700000000000003"/>
  </r>
  <r>
    <s v="USR-101267"/>
    <d v="2025-03-08T00:00:00"/>
    <x v="1"/>
    <s v="West"/>
    <s v="Mobile"/>
    <s v="Email"/>
    <s v="Free"/>
    <n v="1"/>
    <n v="0"/>
    <n v="0"/>
    <x v="0"/>
    <n v="0"/>
    <n v="0"/>
    <n v="0"/>
    <n v="0"/>
    <m/>
    <n v="72.7"/>
  </r>
  <r>
    <s v="USR-101268"/>
    <d v="2025-04-16T00:00:00"/>
    <x v="1"/>
    <s v="East"/>
    <s v="Desktop"/>
    <s v="Paid Search"/>
    <s v="Basic"/>
    <n v="0"/>
    <n v="0"/>
    <n v="0"/>
    <x v="0"/>
    <n v="0"/>
    <n v="0"/>
    <n v="0"/>
    <n v="0"/>
    <m/>
    <n v="64.7"/>
  </r>
  <r>
    <s v="USR-101269"/>
    <d v="2025-02-19T00:00:00"/>
    <x v="1"/>
    <s v="West"/>
    <s v="Desktop"/>
    <s v="Paid Search"/>
    <s v="Premium"/>
    <n v="0"/>
    <n v="0"/>
    <n v="0"/>
    <x v="0"/>
    <n v="0"/>
    <n v="1"/>
    <n v="1"/>
    <n v="0"/>
    <m/>
    <n v="48.6"/>
  </r>
  <r>
    <s v="USR-101270"/>
    <d v="2025-03-16T00:00:00"/>
    <x v="1"/>
    <s v="East"/>
    <s v="Desktop"/>
    <s v="Social"/>
    <s v="Free"/>
    <n v="1"/>
    <n v="1"/>
    <n v="0"/>
    <x v="0"/>
    <n v="0"/>
    <n v="0"/>
    <n v="0"/>
    <n v="0"/>
    <m/>
    <n v="66.2"/>
  </r>
  <r>
    <s v="USR-101271"/>
    <d v="2025-02-03T00:00:00"/>
    <x v="1"/>
    <s v="West"/>
    <m/>
    <s v="Referral"/>
    <s v="Basic"/>
    <n v="1"/>
    <n v="0"/>
    <n v="0"/>
    <x v="0"/>
    <n v="0"/>
    <n v="1"/>
    <n v="1"/>
    <n v="0"/>
    <m/>
    <n v="60.7"/>
  </r>
  <r>
    <s v="USR-101272"/>
    <d v="2025-03-12T00:00:00"/>
    <x v="1"/>
    <s v="West"/>
    <s v="Mobile"/>
    <s v="Paid Search"/>
    <s v="Basic"/>
    <n v="1"/>
    <n v="0"/>
    <n v="0"/>
    <x v="0"/>
    <n v="0"/>
    <n v="0"/>
    <n v="0"/>
    <n v="0"/>
    <m/>
    <n v="36.5"/>
  </r>
  <r>
    <s v="USR-101273"/>
    <d v="2025-05-09T00:00:00"/>
    <x v="1"/>
    <s v="West"/>
    <s v="Mobile"/>
    <s v="Social"/>
    <s v="Free"/>
    <n v="1"/>
    <n v="1"/>
    <n v="1"/>
    <x v="0"/>
    <n v="0"/>
    <n v="3"/>
    <n v="1"/>
    <n v="0"/>
    <m/>
    <n v="69.7"/>
  </r>
  <r>
    <s v="USR-101274"/>
    <d v="2025-01-19T00:00:00"/>
    <x v="1"/>
    <s v="South"/>
    <s v="Desktop"/>
    <s v="Social"/>
    <s v="Premium"/>
    <n v="1"/>
    <n v="0"/>
    <n v="0"/>
    <x v="0"/>
    <n v="0"/>
    <n v="0"/>
    <n v="0"/>
    <n v="0"/>
    <m/>
    <n v="81.8"/>
  </r>
  <r>
    <s v="USR-101275"/>
    <d v="2025-01-24T00:00:00"/>
    <x v="1"/>
    <s v="West"/>
    <s v="Mobile"/>
    <s v="Referral"/>
    <s v="Free"/>
    <n v="1"/>
    <n v="1"/>
    <n v="1"/>
    <x v="0"/>
    <n v="0"/>
    <n v="1"/>
    <n v="1"/>
    <n v="0"/>
    <m/>
    <n v="78.3"/>
  </r>
  <r>
    <s v="USR-101276"/>
    <d v="2025-03-03T00:00:00"/>
    <x v="1"/>
    <s v="East"/>
    <s v="Mobile"/>
    <s v="Referral"/>
    <s v="Free"/>
    <n v="1"/>
    <n v="1"/>
    <n v="0"/>
    <x v="0"/>
    <n v="0"/>
    <n v="0"/>
    <n v="0"/>
    <n v="0"/>
    <m/>
    <n v="79.400000000000006"/>
  </r>
  <r>
    <s v="USR-101277"/>
    <d v="2025-05-27T00:00:00"/>
    <x v="1"/>
    <s v="North"/>
    <s v="Desktop"/>
    <s v="Referral"/>
    <s v="Free"/>
    <n v="1"/>
    <n v="1"/>
    <n v="1"/>
    <x v="0"/>
    <n v="0"/>
    <n v="0"/>
    <n v="0"/>
    <n v="0"/>
    <m/>
    <n v="54.9"/>
  </r>
  <r>
    <s v="USR-101278"/>
    <d v="2025-04-23T00:00:00"/>
    <x v="1"/>
    <s v="West"/>
    <s v="Desktop"/>
    <s v="Organic"/>
    <s v="Basic"/>
    <n v="1"/>
    <n v="0"/>
    <n v="0"/>
    <x v="0"/>
    <n v="0"/>
    <n v="0"/>
    <n v="0"/>
    <n v="0"/>
    <m/>
    <n v="54.9"/>
  </r>
  <r>
    <s v="USR-101279"/>
    <d v="2025-02-10T00:00:00"/>
    <x v="1"/>
    <s v="East"/>
    <s v="Desktop"/>
    <s v="Social"/>
    <s v="Free"/>
    <n v="0"/>
    <n v="0"/>
    <n v="0"/>
    <x v="0"/>
    <n v="0"/>
    <n v="0"/>
    <n v="0"/>
    <n v="0"/>
    <m/>
    <n v="28.7"/>
  </r>
  <r>
    <s v="USR-101280"/>
    <d v="2025-02-11T00:00:00"/>
    <x v="1"/>
    <s v="North"/>
    <s v="Mobile"/>
    <s v="Organic"/>
    <s v="Free"/>
    <n v="0"/>
    <n v="0"/>
    <n v="0"/>
    <x v="0"/>
    <n v="0"/>
    <n v="0"/>
    <n v="0"/>
    <n v="0"/>
    <m/>
    <n v="68.8"/>
  </r>
  <r>
    <s v="USR-101281"/>
    <d v="2025-01-21T00:00:00"/>
    <x v="1"/>
    <s v="East"/>
    <s v="Desktop"/>
    <s v="Paid Search"/>
    <s v="Free"/>
    <n v="1"/>
    <n v="1"/>
    <n v="1"/>
    <x v="0"/>
    <n v="0"/>
    <n v="0"/>
    <n v="0"/>
    <n v="0"/>
    <m/>
    <n v="43.5"/>
  </r>
  <r>
    <s v="USR-101282"/>
    <d v="2025-02-02T00:00:00"/>
    <x v="1"/>
    <s v="West"/>
    <s v="Desktop"/>
    <s v="Social"/>
    <s v="Free"/>
    <n v="1"/>
    <n v="1"/>
    <n v="0"/>
    <x v="0"/>
    <n v="0"/>
    <n v="0"/>
    <n v="0"/>
    <n v="0"/>
    <m/>
    <n v="62.6"/>
  </r>
  <r>
    <s v="USR-101283"/>
    <d v="2025-02-02T00:00:00"/>
    <x v="1"/>
    <s v="West"/>
    <s v="Mobile"/>
    <s v="Organic"/>
    <s v="Free"/>
    <n v="0"/>
    <n v="0"/>
    <n v="0"/>
    <x v="0"/>
    <n v="0"/>
    <n v="1"/>
    <n v="1"/>
    <n v="0"/>
    <m/>
    <n v="54.1"/>
  </r>
  <r>
    <s v="USR-101284"/>
    <d v="2025-02-26T00:00:00"/>
    <x v="1"/>
    <s v="West"/>
    <s v="Tablet"/>
    <s v="Social"/>
    <s v="Free"/>
    <n v="1"/>
    <n v="1"/>
    <n v="1"/>
    <x v="0"/>
    <n v="0"/>
    <n v="0"/>
    <n v="0"/>
    <n v="0"/>
    <m/>
    <n v="80.099999999999994"/>
  </r>
  <r>
    <s v="USR-101285"/>
    <d v="2025-04-22T00:00:00"/>
    <x v="1"/>
    <s v="North"/>
    <s v="Mobile"/>
    <s v="Social"/>
    <s v="Premium"/>
    <n v="1"/>
    <n v="0"/>
    <n v="0"/>
    <x v="0"/>
    <n v="0"/>
    <n v="0"/>
    <n v="0"/>
    <n v="0"/>
    <m/>
    <n v="69.5"/>
  </r>
  <r>
    <s v="USR-101286"/>
    <d v="2025-03-11T00:00:00"/>
    <x v="1"/>
    <s v="North"/>
    <s v="Desktop"/>
    <s v="Organic"/>
    <s v="Basic"/>
    <n v="0"/>
    <n v="0"/>
    <n v="0"/>
    <x v="0"/>
    <n v="0"/>
    <n v="2"/>
    <n v="1"/>
    <n v="0"/>
    <m/>
    <n v="46.6"/>
  </r>
  <r>
    <s v="USR-101287"/>
    <d v="2025-05-08T00:00:00"/>
    <x v="1"/>
    <s v="South"/>
    <s v="Mobile"/>
    <s v="Organic"/>
    <s v="Premium"/>
    <n v="1"/>
    <n v="0"/>
    <n v="0"/>
    <x v="0"/>
    <n v="0"/>
    <n v="1"/>
    <n v="1"/>
    <n v="0"/>
    <m/>
    <n v="54.9"/>
  </r>
  <r>
    <s v="USR-101288"/>
    <d v="2025-03-10T00:00:00"/>
    <x v="1"/>
    <s v="East"/>
    <s v="Desktop"/>
    <s v="Organic"/>
    <s v="Free"/>
    <n v="0"/>
    <n v="0"/>
    <n v="0"/>
    <x v="0"/>
    <n v="0"/>
    <n v="0"/>
    <n v="0"/>
    <n v="0"/>
    <m/>
    <n v="100"/>
  </r>
  <r>
    <s v="USR-101289"/>
    <d v="2025-04-16T00:00:00"/>
    <x v="1"/>
    <s v="East"/>
    <s v="Desktop"/>
    <s v="Paid Search"/>
    <s v="Free"/>
    <n v="1"/>
    <n v="1"/>
    <n v="1"/>
    <x v="0"/>
    <n v="0"/>
    <n v="1"/>
    <n v="1"/>
    <n v="0"/>
    <m/>
    <n v="80.5"/>
  </r>
  <r>
    <s v="USR-101290"/>
    <d v="2025-03-01T00:00:00"/>
    <x v="1"/>
    <s v="West"/>
    <s v="Tablet"/>
    <s v="Organic"/>
    <s v="Basic"/>
    <n v="1"/>
    <n v="0"/>
    <n v="0"/>
    <x v="0"/>
    <n v="0"/>
    <n v="0"/>
    <n v="0"/>
    <n v="0"/>
    <m/>
    <n v="51.2"/>
  </r>
  <r>
    <s v="USR-101291"/>
    <d v="2025-01-18T00:00:00"/>
    <x v="1"/>
    <s v="South"/>
    <s v="Desktop"/>
    <s v="Organic"/>
    <s v="Premium"/>
    <n v="1"/>
    <n v="0"/>
    <n v="0"/>
    <x v="0"/>
    <n v="0"/>
    <n v="0"/>
    <n v="0"/>
    <n v="0"/>
    <m/>
    <n v="42.5"/>
  </r>
  <r>
    <s v="USR-101292"/>
    <d v="2025-03-30T00:00:00"/>
    <x v="1"/>
    <s v="North"/>
    <s v="Mobile"/>
    <s v="Paid Search"/>
    <s v="Free"/>
    <n v="0"/>
    <n v="0"/>
    <n v="0"/>
    <x v="0"/>
    <n v="0"/>
    <n v="0"/>
    <n v="0"/>
    <n v="0"/>
    <m/>
    <n v="72.5"/>
  </r>
  <r>
    <s v="USR-101293"/>
    <d v="2025-05-26T00:00:00"/>
    <x v="1"/>
    <s v="West"/>
    <s v="Mobile"/>
    <s v="Social"/>
    <s v="Premium"/>
    <n v="0"/>
    <n v="0"/>
    <n v="0"/>
    <x v="0"/>
    <n v="0"/>
    <n v="0"/>
    <n v="0"/>
    <n v="0"/>
    <m/>
    <n v="74.400000000000006"/>
  </r>
  <r>
    <s v="USR-101294"/>
    <d v="2025-03-19T00:00:00"/>
    <x v="1"/>
    <s v="East"/>
    <s v="Desktop"/>
    <s v="Social"/>
    <s v="Free"/>
    <n v="0"/>
    <n v="0"/>
    <n v="0"/>
    <x v="0"/>
    <n v="0"/>
    <n v="0"/>
    <n v="0"/>
    <n v="0"/>
    <m/>
    <n v="78.400000000000006"/>
  </r>
  <r>
    <s v="USR-101295"/>
    <d v="2025-03-28T00:00:00"/>
    <x v="1"/>
    <s v="North"/>
    <s v="Desktop"/>
    <s v="Referral"/>
    <s v="Free"/>
    <n v="1"/>
    <n v="0"/>
    <n v="0"/>
    <x v="0"/>
    <n v="0"/>
    <n v="0"/>
    <n v="0"/>
    <n v="0"/>
    <m/>
    <n v="71.5"/>
  </r>
  <r>
    <s v="USR-101296"/>
    <d v="2025-05-28T00:00:00"/>
    <x v="1"/>
    <s v="South"/>
    <s v="Desktop"/>
    <s v="Social"/>
    <s v="Free"/>
    <n v="1"/>
    <n v="0"/>
    <n v="0"/>
    <x v="0"/>
    <n v="0"/>
    <n v="0"/>
    <n v="0"/>
    <n v="0"/>
    <m/>
    <n v="66.7"/>
  </r>
  <r>
    <s v="USR-101297"/>
    <d v="2025-05-31T00:00:00"/>
    <x v="1"/>
    <s v="South"/>
    <s v="Desktop"/>
    <s v="Referral"/>
    <s v="Premium"/>
    <n v="1"/>
    <n v="1"/>
    <n v="1"/>
    <x v="1"/>
    <n v="1496.09"/>
    <n v="0"/>
    <n v="0"/>
    <n v="0"/>
    <n v="7"/>
    <n v="60.4"/>
  </r>
  <r>
    <s v="USR-101298"/>
    <d v="2025-05-10T00:00:00"/>
    <x v="1"/>
    <s v="North"/>
    <s v="Mobile"/>
    <s v="Referral"/>
    <s v="Free"/>
    <n v="0"/>
    <n v="0"/>
    <n v="0"/>
    <x v="0"/>
    <n v="0"/>
    <n v="1"/>
    <n v="1"/>
    <n v="0"/>
    <m/>
    <n v="72.900000000000006"/>
  </r>
  <r>
    <s v="USR-101299"/>
    <d v="2025-05-17T00:00:00"/>
    <x v="1"/>
    <s v="West"/>
    <s v="Mobile"/>
    <s v="Organic"/>
    <s v="Free"/>
    <n v="0"/>
    <n v="0"/>
    <n v="0"/>
    <x v="0"/>
    <n v="0"/>
    <n v="3"/>
    <n v="1"/>
    <n v="0"/>
    <m/>
    <m/>
  </r>
  <r>
    <s v="USR-101300"/>
    <d v="2025-01-18T00:00:00"/>
    <x v="1"/>
    <s v="South"/>
    <s v="Mobile"/>
    <s v="Organic"/>
    <s v="Premium"/>
    <n v="1"/>
    <n v="0"/>
    <n v="0"/>
    <x v="0"/>
    <n v="0"/>
    <n v="0"/>
    <n v="0"/>
    <n v="0"/>
    <m/>
    <n v="55.2"/>
  </r>
  <r>
    <s v="USR-101301"/>
    <d v="2025-05-04T00:00:00"/>
    <x v="1"/>
    <s v="West"/>
    <s v="Mobile"/>
    <s v="Social"/>
    <s v="Free"/>
    <n v="1"/>
    <n v="0"/>
    <n v="0"/>
    <x v="0"/>
    <n v="0"/>
    <n v="0"/>
    <n v="0"/>
    <n v="0"/>
    <m/>
    <n v="67.8"/>
  </r>
  <r>
    <s v="USR-101302"/>
    <d v="2025-03-25T00:00:00"/>
    <x v="1"/>
    <s v="North"/>
    <s v="Mobile"/>
    <s v="Organic"/>
    <s v="Free"/>
    <n v="1"/>
    <n v="0"/>
    <n v="0"/>
    <x v="0"/>
    <n v="0"/>
    <n v="2"/>
    <n v="1"/>
    <n v="0"/>
    <m/>
    <n v="70"/>
  </r>
  <r>
    <s v="USR-101303"/>
    <d v="2025-02-27T00:00:00"/>
    <x v="1"/>
    <s v="North"/>
    <s v="Mobile"/>
    <s v="Social"/>
    <s v="Basic"/>
    <n v="1"/>
    <n v="1"/>
    <n v="1"/>
    <x v="0"/>
    <n v="0"/>
    <n v="0"/>
    <n v="0"/>
    <n v="0"/>
    <m/>
    <n v="51.1"/>
  </r>
  <r>
    <s v="USR-101304"/>
    <d v="2025-01-14T00:00:00"/>
    <x v="1"/>
    <s v="West"/>
    <s v="Mobile"/>
    <s v="Paid Search"/>
    <s v="Basic"/>
    <n v="1"/>
    <n v="1"/>
    <n v="1"/>
    <x v="0"/>
    <n v="0"/>
    <n v="0"/>
    <n v="0"/>
    <n v="0"/>
    <m/>
    <n v="57"/>
  </r>
  <r>
    <s v="USR-101305"/>
    <d v="2025-04-11T00:00:00"/>
    <x v="1"/>
    <s v="East"/>
    <s v="Mobile"/>
    <s v="Social"/>
    <s v="Free"/>
    <n v="0"/>
    <n v="0"/>
    <n v="0"/>
    <x v="0"/>
    <n v="0"/>
    <n v="1"/>
    <n v="1"/>
    <n v="0"/>
    <m/>
    <n v="47.1"/>
  </r>
  <r>
    <s v="USR-101306"/>
    <d v="2025-03-26T00:00:00"/>
    <x v="1"/>
    <s v="East"/>
    <s v="Desktop"/>
    <s v="Social"/>
    <s v="Basic"/>
    <n v="0"/>
    <n v="0"/>
    <n v="0"/>
    <x v="0"/>
    <n v="0"/>
    <n v="0"/>
    <n v="0"/>
    <n v="0"/>
    <m/>
    <n v="30.7"/>
  </r>
  <r>
    <s v="USR-101307"/>
    <d v="2025-02-12T00:00:00"/>
    <x v="1"/>
    <s v="West"/>
    <s v="Desktop"/>
    <s v="Social"/>
    <s v="Free"/>
    <n v="1"/>
    <n v="0"/>
    <n v="0"/>
    <x v="0"/>
    <n v="0"/>
    <n v="0"/>
    <n v="0"/>
    <n v="0"/>
    <m/>
    <n v="57.3"/>
  </r>
  <r>
    <s v="USR-101308"/>
    <d v="2025-02-18T00:00:00"/>
    <x v="1"/>
    <s v="West"/>
    <s v="Tablet"/>
    <s v="Paid Search"/>
    <s v="Basic"/>
    <n v="1"/>
    <n v="0"/>
    <n v="0"/>
    <x v="0"/>
    <n v="0"/>
    <n v="0"/>
    <n v="0"/>
    <n v="0"/>
    <m/>
    <n v="70"/>
  </r>
  <r>
    <s v="USR-101309"/>
    <d v="2025-05-25T00:00:00"/>
    <x v="1"/>
    <s v="East"/>
    <s v="Desktop"/>
    <s v="Social"/>
    <s v="Free"/>
    <n v="1"/>
    <n v="1"/>
    <n v="1"/>
    <x v="0"/>
    <n v="0"/>
    <n v="0"/>
    <n v="0"/>
    <n v="0"/>
    <m/>
    <n v="59.7"/>
  </r>
  <r>
    <s v="USR-101310"/>
    <d v="2025-05-23T00:00:00"/>
    <x v="1"/>
    <s v="East"/>
    <s v="Desktop"/>
    <s v="Paid Search"/>
    <s v="Basic"/>
    <n v="1"/>
    <n v="0"/>
    <n v="0"/>
    <x v="0"/>
    <n v="0"/>
    <n v="0"/>
    <n v="0"/>
    <n v="0"/>
    <m/>
    <n v="68.8"/>
  </r>
  <r>
    <s v="USR-101311"/>
    <d v="2025-01-16T00:00:00"/>
    <x v="1"/>
    <s v="North"/>
    <s v="Desktop"/>
    <s v="Organic"/>
    <s v="Free"/>
    <n v="1"/>
    <n v="1"/>
    <n v="1"/>
    <x v="1"/>
    <n v="428.37"/>
    <n v="0"/>
    <n v="0"/>
    <n v="0"/>
    <n v="9"/>
    <n v="88.3"/>
  </r>
  <r>
    <s v="USR-101312"/>
    <d v="2025-01-19T00:00:00"/>
    <x v="1"/>
    <s v="West"/>
    <s v="Desktop"/>
    <s v="Email"/>
    <s v="Basic"/>
    <n v="0"/>
    <n v="0"/>
    <n v="0"/>
    <x v="0"/>
    <n v="0"/>
    <n v="0"/>
    <n v="0"/>
    <n v="0"/>
    <m/>
    <n v="83.4"/>
  </r>
  <r>
    <s v="USR-101313"/>
    <d v="2025-05-18T00:00:00"/>
    <x v="1"/>
    <s v="South"/>
    <s v="Mobile"/>
    <s v="Referral"/>
    <s v="Free"/>
    <n v="0"/>
    <n v="0"/>
    <n v="0"/>
    <x v="0"/>
    <n v="0"/>
    <n v="1"/>
    <n v="1"/>
    <n v="0"/>
    <m/>
    <n v="81.599999999999994"/>
  </r>
  <r>
    <s v="USR-101314"/>
    <d v="2025-01-23T00:00:00"/>
    <x v="1"/>
    <s v="East"/>
    <s v="Tablet"/>
    <s v="Social"/>
    <s v="Premium"/>
    <n v="1"/>
    <n v="0"/>
    <n v="0"/>
    <x v="0"/>
    <n v="0"/>
    <n v="0"/>
    <n v="0"/>
    <n v="0"/>
    <m/>
    <n v="91.6"/>
  </r>
  <r>
    <s v="USR-101315"/>
    <d v="2025-01-08T00:00:00"/>
    <x v="1"/>
    <s v="East"/>
    <s v="Tablet"/>
    <m/>
    <s v="Premium"/>
    <n v="1"/>
    <n v="1"/>
    <n v="1"/>
    <x v="0"/>
    <n v="0"/>
    <n v="1"/>
    <n v="1"/>
    <n v="0"/>
    <m/>
    <n v="61.5"/>
  </r>
  <r>
    <s v="USR-101316"/>
    <d v="2025-02-19T00:00:00"/>
    <x v="1"/>
    <s v="North"/>
    <s v="Mobile"/>
    <s v="Organic"/>
    <s v="Premium"/>
    <n v="0"/>
    <n v="0"/>
    <n v="0"/>
    <x v="0"/>
    <n v="0"/>
    <n v="0"/>
    <n v="0"/>
    <n v="0"/>
    <m/>
    <m/>
  </r>
  <r>
    <s v="USR-101317"/>
    <d v="2025-02-10T00:00:00"/>
    <x v="1"/>
    <s v="South"/>
    <s v="Mobile"/>
    <s v="Organic"/>
    <s v="Free"/>
    <n v="1"/>
    <n v="0"/>
    <n v="0"/>
    <x v="0"/>
    <n v="0"/>
    <n v="0"/>
    <n v="0"/>
    <n v="0"/>
    <m/>
    <n v="32.6"/>
  </r>
  <r>
    <s v="USR-101318"/>
    <d v="2025-04-13T00:00:00"/>
    <x v="1"/>
    <s v="South"/>
    <s v="Mobile"/>
    <s v="Paid Search"/>
    <s v="Free"/>
    <n v="1"/>
    <n v="0"/>
    <n v="0"/>
    <x v="0"/>
    <n v="0"/>
    <n v="0"/>
    <n v="0"/>
    <n v="0"/>
    <m/>
    <n v="73.900000000000006"/>
  </r>
  <r>
    <s v="USR-101319"/>
    <d v="2025-05-20T00:00:00"/>
    <x v="1"/>
    <s v="East"/>
    <s v="Mobile"/>
    <s v="Organic"/>
    <s v="Free"/>
    <n v="1"/>
    <n v="1"/>
    <n v="1"/>
    <x v="1"/>
    <n v="444.06"/>
    <n v="0"/>
    <n v="0"/>
    <n v="0"/>
    <n v="9"/>
    <n v="99.9"/>
  </r>
  <r>
    <s v="USR-101320"/>
    <d v="2025-05-13T00:00:00"/>
    <x v="1"/>
    <s v="South"/>
    <s v="Mobile"/>
    <s v="Paid Search"/>
    <s v="Basic"/>
    <n v="1"/>
    <n v="1"/>
    <n v="0"/>
    <x v="0"/>
    <n v="0"/>
    <n v="1"/>
    <n v="1"/>
    <n v="0"/>
    <m/>
    <n v="62.4"/>
  </r>
  <r>
    <s v="USR-101321"/>
    <d v="2025-05-28T00:00:00"/>
    <x v="1"/>
    <s v="South"/>
    <s v="Desktop"/>
    <s v="Paid Search"/>
    <s v="Basic"/>
    <n v="1"/>
    <n v="0"/>
    <n v="0"/>
    <x v="0"/>
    <n v="0"/>
    <n v="0"/>
    <n v="0"/>
    <n v="0"/>
    <m/>
    <n v="46.1"/>
  </r>
  <r>
    <s v="USR-101322"/>
    <d v="2025-03-19T00:00:00"/>
    <x v="1"/>
    <s v="West"/>
    <s v="Mobile"/>
    <s v="Organic"/>
    <s v="Free"/>
    <n v="1"/>
    <n v="1"/>
    <n v="1"/>
    <x v="1"/>
    <n v="2660.21"/>
    <n v="0"/>
    <n v="0"/>
    <n v="0"/>
    <n v="3"/>
    <n v="73.900000000000006"/>
  </r>
  <r>
    <s v="USR-101323"/>
    <d v="2025-02-03T00:00:00"/>
    <x v="1"/>
    <s v="North"/>
    <s v="Mobile"/>
    <s v="Email"/>
    <s v="Premium"/>
    <n v="0"/>
    <n v="0"/>
    <n v="0"/>
    <x v="0"/>
    <n v="0"/>
    <n v="0"/>
    <n v="0"/>
    <n v="0"/>
    <m/>
    <n v="90"/>
  </r>
  <r>
    <s v="USR-101324"/>
    <d v="2025-02-26T00:00:00"/>
    <x v="1"/>
    <s v="South"/>
    <s v="Mobile"/>
    <s v="Email"/>
    <s v="Basic"/>
    <n v="1"/>
    <n v="0"/>
    <n v="0"/>
    <x v="0"/>
    <n v="0"/>
    <n v="1"/>
    <n v="1"/>
    <n v="0"/>
    <m/>
    <n v="68.8"/>
  </r>
  <r>
    <s v="USR-101325"/>
    <d v="2025-01-26T00:00:00"/>
    <x v="1"/>
    <s v="West"/>
    <s v="Mobile"/>
    <s v="Paid Search"/>
    <s v="Free"/>
    <n v="1"/>
    <n v="0"/>
    <n v="0"/>
    <x v="0"/>
    <n v="0"/>
    <n v="0"/>
    <n v="0"/>
    <n v="0"/>
    <m/>
    <n v="66.599999999999994"/>
  </r>
  <r>
    <s v="USR-101326"/>
    <d v="2025-05-13T00:00:00"/>
    <x v="1"/>
    <s v="North"/>
    <s v="Mobile"/>
    <s v="Organic"/>
    <s v="Premium"/>
    <n v="1"/>
    <n v="0"/>
    <n v="0"/>
    <x v="0"/>
    <n v="0"/>
    <n v="0"/>
    <n v="0"/>
    <n v="0"/>
    <m/>
    <n v="49.7"/>
  </r>
  <r>
    <s v="USR-101327"/>
    <d v="2025-02-02T00:00:00"/>
    <x v="1"/>
    <s v="South"/>
    <s v="Mobile"/>
    <s v="Paid Search"/>
    <s v="Basic"/>
    <n v="0"/>
    <n v="0"/>
    <n v="0"/>
    <x v="0"/>
    <n v="0"/>
    <n v="0"/>
    <n v="0"/>
    <n v="0"/>
    <m/>
    <n v="67.900000000000006"/>
  </r>
  <r>
    <s v="USR-101328"/>
    <d v="2025-04-30T00:00:00"/>
    <x v="1"/>
    <s v="West"/>
    <s v="Mobile"/>
    <m/>
    <s v="Basic"/>
    <n v="0"/>
    <n v="0"/>
    <n v="0"/>
    <x v="0"/>
    <n v="0"/>
    <n v="0"/>
    <n v="0"/>
    <n v="0"/>
    <m/>
    <n v="66.900000000000006"/>
  </r>
  <r>
    <s v="USR-101329"/>
    <d v="2025-03-29T00:00:00"/>
    <x v="1"/>
    <s v="East"/>
    <s v="Mobile"/>
    <s v="Organic"/>
    <s v="Free"/>
    <n v="0"/>
    <n v="0"/>
    <n v="0"/>
    <x v="0"/>
    <n v="0"/>
    <n v="0"/>
    <n v="0"/>
    <n v="0"/>
    <m/>
    <n v="46.1"/>
  </r>
  <r>
    <s v="USR-101330"/>
    <d v="2025-04-09T00:00:00"/>
    <x v="1"/>
    <s v="West"/>
    <s v="Desktop"/>
    <s v="Referral"/>
    <s v="Premium"/>
    <n v="1"/>
    <n v="0"/>
    <n v="0"/>
    <x v="0"/>
    <n v="0"/>
    <n v="0"/>
    <n v="0"/>
    <n v="0"/>
    <m/>
    <n v="85.6"/>
  </r>
  <r>
    <s v="USR-101331"/>
    <d v="2025-01-22T00:00:00"/>
    <x v="1"/>
    <s v="South"/>
    <s v="Tablet"/>
    <s v="Organic"/>
    <s v="Free"/>
    <n v="0"/>
    <n v="0"/>
    <n v="0"/>
    <x v="0"/>
    <n v="0"/>
    <n v="0"/>
    <n v="0"/>
    <n v="0"/>
    <m/>
    <n v="39.6"/>
  </r>
  <r>
    <s v="USR-101332"/>
    <d v="2025-01-27T00:00:00"/>
    <x v="1"/>
    <s v="South"/>
    <s v="Mobile"/>
    <s v="Organic"/>
    <s v="Basic"/>
    <n v="1"/>
    <n v="0"/>
    <n v="0"/>
    <x v="0"/>
    <n v="0"/>
    <n v="0"/>
    <n v="0"/>
    <n v="0"/>
    <m/>
    <n v="52.5"/>
  </r>
  <r>
    <s v="USR-101333"/>
    <d v="2025-01-22T00:00:00"/>
    <x v="1"/>
    <s v="East"/>
    <s v="Mobile"/>
    <s v="Social"/>
    <s v="Premium"/>
    <n v="1"/>
    <n v="0"/>
    <n v="0"/>
    <x v="0"/>
    <n v="0"/>
    <n v="0"/>
    <n v="0"/>
    <n v="0"/>
    <m/>
    <n v="73.5"/>
  </r>
  <r>
    <s v="USR-101334"/>
    <d v="2025-01-06T00:00:00"/>
    <x v="1"/>
    <s v="West"/>
    <s v="Desktop"/>
    <s v="Paid Search"/>
    <s v="Free"/>
    <n v="0"/>
    <n v="0"/>
    <n v="0"/>
    <x v="0"/>
    <n v="0"/>
    <n v="0"/>
    <n v="0"/>
    <n v="0"/>
    <m/>
    <n v="62.5"/>
  </r>
  <r>
    <s v="USR-101335"/>
    <d v="2025-04-16T00:00:00"/>
    <x v="1"/>
    <s v="South"/>
    <m/>
    <s v="Organic"/>
    <s v="Free"/>
    <n v="1"/>
    <n v="0"/>
    <n v="0"/>
    <x v="0"/>
    <n v="0"/>
    <n v="0"/>
    <n v="0"/>
    <n v="0"/>
    <m/>
    <n v="76.900000000000006"/>
  </r>
  <r>
    <s v="USR-101336"/>
    <d v="2025-04-14T00:00:00"/>
    <x v="1"/>
    <s v="South"/>
    <s v="Mobile"/>
    <s v="Organic"/>
    <s v="Free"/>
    <n v="1"/>
    <n v="0"/>
    <n v="0"/>
    <x v="0"/>
    <n v="0"/>
    <n v="0"/>
    <n v="0"/>
    <n v="0"/>
    <m/>
    <n v="51.4"/>
  </r>
  <r>
    <s v="USR-101337"/>
    <d v="2025-02-22T00:00:00"/>
    <x v="1"/>
    <s v="West"/>
    <s v="Mobile"/>
    <s v="Paid Search"/>
    <s v="Basic"/>
    <n v="1"/>
    <n v="0"/>
    <n v="0"/>
    <x v="0"/>
    <n v="0"/>
    <n v="0"/>
    <n v="0"/>
    <n v="0"/>
    <m/>
    <n v="59.3"/>
  </r>
  <r>
    <s v="USR-101338"/>
    <d v="2025-03-09T00:00:00"/>
    <x v="1"/>
    <s v="North"/>
    <s v="Mobile"/>
    <s v="Organic"/>
    <s v="Basic"/>
    <n v="0"/>
    <n v="0"/>
    <n v="0"/>
    <x v="0"/>
    <n v="0"/>
    <n v="0"/>
    <n v="0"/>
    <n v="0"/>
    <m/>
    <n v="74.900000000000006"/>
  </r>
  <r>
    <s v="USR-101339"/>
    <d v="2025-04-20T00:00:00"/>
    <x v="1"/>
    <s v="West"/>
    <s v="Desktop"/>
    <s v="Organic"/>
    <s v="Free"/>
    <n v="1"/>
    <n v="0"/>
    <n v="0"/>
    <x v="0"/>
    <n v="0"/>
    <n v="0"/>
    <n v="0"/>
    <n v="0"/>
    <m/>
    <n v="67"/>
  </r>
  <r>
    <s v="USR-101340"/>
    <d v="2025-03-10T00:00:00"/>
    <x v="1"/>
    <s v="South"/>
    <s v="Mobile"/>
    <s v="Email"/>
    <s v="Free"/>
    <n v="0"/>
    <n v="0"/>
    <n v="0"/>
    <x v="0"/>
    <n v="0"/>
    <n v="0"/>
    <n v="0"/>
    <n v="0"/>
    <m/>
    <n v="63.6"/>
  </r>
  <r>
    <s v="USR-101341"/>
    <d v="2025-02-21T00:00:00"/>
    <x v="1"/>
    <s v="South"/>
    <s v="Mobile"/>
    <s v="Email"/>
    <s v="Free"/>
    <n v="1"/>
    <n v="1"/>
    <n v="0"/>
    <x v="0"/>
    <n v="0"/>
    <n v="1"/>
    <n v="1"/>
    <n v="0"/>
    <m/>
    <n v="58.4"/>
  </r>
  <r>
    <s v="USR-101342"/>
    <d v="2025-01-06T00:00:00"/>
    <x v="1"/>
    <s v="North"/>
    <s v="Desktop"/>
    <s v="Social"/>
    <s v="Free"/>
    <n v="1"/>
    <n v="0"/>
    <n v="0"/>
    <x v="0"/>
    <n v="0"/>
    <n v="0"/>
    <n v="0"/>
    <n v="0"/>
    <m/>
    <n v="36.799999999999997"/>
  </r>
  <r>
    <s v="USR-101343"/>
    <d v="2025-04-17T00:00:00"/>
    <x v="1"/>
    <s v="South"/>
    <s v="Mobile"/>
    <s v="Organic"/>
    <s v="Premium"/>
    <n v="1"/>
    <n v="0"/>
    <n v="0"/>
    <x v="0"/>
    <n v="0"/>
    <n v="0"/>
    <n v="0"/>
    <n v="0"/>
    <m/>
    <n v="71.599999999999994"/>
  </r>
  <r>
    <s v="USR-101344"/>
    <d v="2025-05-23T00:00:00"/>
    <x v="1"/>
    <s v="South"/>
    <s v="Mobile"/>
    <s v="Email"/>
    <s v="Basic"/>
    <n v="1"/>
    <n v="1"/>
    <n v="0"/>
    <x v="0"/>
    <n v="0"/>
    <n v="1"/>
    <n v="1"/>
    <n v="0"/>
    <m/>
    <n v="79.7"/>
  </r>
  <r>
    <s v="USR-101345"/>
    <d v="2025-03-14T00:00:00"/>
    <x v="1"/>
    <s v="West"/>
    <s v="Desktop"/>
    <s v="Organic"/>
    <s v="Basic"/>
    <n v="1"/>
    <n v="0"/>
    <n v="0"/>
    <x v="0"/>
    <n v="0"/>
    <n v="1"/>
    <n v="1"/>
    <n v="0"/>
    <m/>
    <n v="56.5"/>
  </r>
  <r>
    <s v="USR-101346"/>
    <d v="2025-04-21T00:00:00"/>
    <x v="1"/>
    <s v="North"/>
    <s v="Mobile"/>
    <s v="Social"/>
    <s v="Premium"/>
    <n v="1"/>
    <n v="0"/>
    <n v="0"/>
    <x v="0"/>
    <n v="0"/>
    <n v="0"/>
    <n v="0"/>
    <n v="0"/>
    <m/>
    <n v="44.7"/>
  </r>
  <r>
    <s v="USR-101347"/>
    <d v="2025-01-03T00:00:00"/>
    <x v="1"/>
    <s v="South"/>
    <s v="Mobile"/>
    <s v="Social"/>
    <s v="Free"/>
    <n v="1"/>
    <n v="1"/>
    <n v="1"/>
    <x v="0"/>
    <n v="0"/>
    <n v="1"/>
    <n v="1"/>
    <n v="0"/>
    <m/>
    <n v="66"/>
  </r>
  <r>
    <s v="USR-101348"/>
    <d v="2025-05-09T00:00:00"/>
    <x v="1"/>
    <s v="North"/>
    <s v="Desktop"/>
    <s v="Organic"/>
    <s v="Basic"/>
    <n v="1"/>
    <n v="0"/>
    <n v="0"/>
    <x v="0"/>
    <n v="0"/>
    <n v="0"/>
    <n v="0"/>
    <n v="0"/>
    <m/>
    <n v="73"/>
  </r>
  <r>
    <s v="USR-101349"/>
    <d v="2025-05-22T00:00:00"/>
    <x v="1"/>
    <s v="South"/>
    <s v="Mobile"/>
    <s v="Organic"/>
    <s v="Basic"/>
    <n v="1"/>
    <n v="1"/>
    <n v="1"/>
    <x v="0"/>
    <n v="0"/>
    <n v="1"/>
    <n v="1"/>
    <n v="0"/>
    <m/>
    <n v="72.5"/>
  </r>
  <r>
    <s v="USR-101350"/>
    <d v="2025-05-07T00:00:00"/>
    <x v="1"/>
    <s v="South"/>
    <s v="Desktop"/>
    <s v="Paid Search"/>
    <s v="Free"/>
    <n v="1"/>
    <n v="1"/>
    <n v="1"/>
    <x v="1"/>
    <n v="323.60000000000002"/>
    <n v="0"/>
    <n v="0"/>
    <n v="0"/>
    <n v="6"/>
    <n v="100"/>
  </r>
  <r>
    <s v="USR-101351"/>
    <d v="2025-02-08T00:00:00"/>
    <x v="1"/>
    <s v="East"/>
    <s v="Mobile"/>
    <s v="Social"/>
    <s v="Free"/>
    <n v="0"/>
    <n v="0"/>
    <n v="0"/>
    <x v="0"/>
    <n v="0"/>
    <n v="1"/>
    <n v="1"/>
    <n v="0"/>
    <m/>
    <n v="90.5"/>
  </r>
  <r>
    <s v="USR-101352"/>
    <d v="2025-04-03T00:00:00"/>
    <x v="1"/>
    <s v="North"/>
    <s v="Tablet"/>
    <s v="Social"/>
    <s v="Basic"/>
    <n v="1"/>
    <n v="0"/>
    <n v="0"/>
    <x v="0"/>
    <n v="0"/>
    <n v="0"/>
    <n v="0"/>
    <n v="0"/>
    <m/>
    <n v="70.2"/>
  </r>
  <r>
    <s v="USR-101353"/>
    <d v="2025-04-17T00:00:00"/>
    <x v="1"/>
    <s v="East"/>
    <s v="Desktop"/>
    <s v="Paid Search"/>
    <s v="Free"/>
    <n v="1"/>
    <n v="0"/>
    <n v="0"/>
    <x v="0"/>
    <n v="0"/>
    <n v="1"/>
    <n v="1"/>
    <n v="0"/>
    <m/>
    <n v="67.099999999999994"/>
  </r>
  <r>
    <s v="USR-101354"/>
    <d v="2025-05-04T00:00:00"/>
    <x v="1"/>
    <s v="East"/>
    <s v="Mobile"/>
    <s v="Organic"/>
    <s v="Free"/>
    <n v="0"/>
    <n v="0"/>
    <n v="0"/>
    <x v="0"/>
    <n v="0"/>
    <n v="0"/>
    <n v="0"/>
    <n v="0"/>
    <m/>
    <n v="54.5"/>
  </r>
  <r>
    <s v="USR-101355"/>
    <d v="2025-05-11T00:00:00"/>
    <x v="1"/>
    <s v="West"/>
    <s v="Desktop"/>
    <s v="Organic"/>
    <s v="Free"/>
    <n v="1"/>
    <n v="0"/>
    <n v="0"/>
    <x v="0"/>
    <n v="0"/>
    <n v="0"/>
    <n v="0"/>
    <n v="0"/>
    <m/>
    <n v="63.4"/>
  </r>
  <r>
    <s v="USR-101356"/>
    <d v="2025-03-01T00:00:00"/>
    <x v="1"/>
    <s v="North"/>
    <s v="Desktop"/>
    <m/>
    <s v="Free"/>
    <n v="1"/>
    <n v="1"/>
    <n v="1"/>
    <x v="0"/>
    <n v="0"/>
    <n v="0"/>
    <n v="0"/>
    <n v="0"/>
    <m/>
    <n v="84.3"/>
  </r>
  <r>
    <s v="USR-101357"/>
    <d v="2025-02-20T00:00:00"/>
    <x v="1"/>
    <s v="West"/>
    <s v="Desktop"/>
    <s v="Organic"/>
    <s v="Free"/>
    <n v="1"/>
    <n v="0"/>
    <n v="0"/>
    <x v="0"/>
    <n v="0"/>
    <n v="1"/>
    <n v="1"/>
    <n v="0"/>
    <m/>
    <n v="55"/>
  </r>
  <r>
    <s v="USR-101358"/>
    <d v="2025-05-09T00:00:00"/>
    <x v="1"/>
    <s v="West"/>
    <s v="Mobile"/>
    <s v="Social"/>
    <s v="Free"/>
    <n v="1"/>
    <n v="0"/>
    <n v="0"/>
    <x v="0"/>
    <n v="0"/>
    <n v="0"/>
    <n v="0"/>
    <n v="0"/>
    <m/>
    <n v="63.6"/>
  </r>
  <r>
    <s v="USR-101359"/>
    <d v="2025-04-30T00:00:00"/>
    <x v="1"/>
    <s v="West"/>
    <s v="Mobile"/>
    <s v="Organic"/>
    <s v="Free"/>
    <n v="1"/>
    <n v="0"/>
    <n v="0"/>
    <x v="0"/>
    <n v="0"/>
    <n v="0"/>
    <n v="0"/>
    <n v="0"/>
    <m/>
    <n v="55.5"/>
  </r>
  <r>
    <s v="USR-101360"/>
    <d v="2025-01-07T00:00:00"/>
    <x v="1"/>
    <s v="South"/>
    <s v="Mobile"/>
    <s v="Social"/>
    <s v="Basic"/>
    <n v="0"/>
    <n v="0"/>
    <n v="0"/>
    <x v="0"/>
    <n v="0"/>
    <n v="0"/>
    <n v="0"/>
    <n v="0"/>
    <m/>
    <n v="50.5"/>
  </r>
  <r>
    <s v="USR-101361"/>
    <d v="2025-04-30T00:00:00"/>
    <x v="1"/>
    <s v="North"/>
    <s v="Mobile"/>
    <s v="Social"/>
    <s v="Basic"/>
    <n v="1"/>
    <n v="0"/>
    <n v="0"/>
    <x v="0"/>
    <n v="0"/>
    <n v="0"/>
    <n v="0"/>
    <n v="0"/>
    <m/>
    <n v="45.3"/>
  </r>
  <r>
    <s v="USR-100917"/>
    <d v="2025-02-23T00:00:00"/>
    <x v="1"/>
    <s v="West"/>
    <s v="Desktop"/>
    <s v="Social"/>
    <s v="Basic"/>
    <n v="1"/>
    <n v="1"/>
    <n v="1"/>
    <x v="0"/>
    <n v="0"/>
    <n v="0"/>
    <n v="0"/>
    <n v="0"/>
    <m/>
    <n v="70.599999999999994"/>
  </r>
  <r>
    <s v="USR-101363"/>
    <d v="2025-03-12T00:00:00"/>
    <x v="1"/>
    <s v="South"/>
    <s v="Mobile"/>
    <s v="Paid Search"/>
    <s v="Premium"/>
    <n v="1"/>
    <n v="1"/>
    <n v="1"/>
    <x v="0"/>
    <n v="0"/>
    <n v="0"/>
    <n v="0"/>
    <n v="0"/>
    <m/>
    <n v="88.2"/>
  </r>
  <r>
    <s v="USR-101364"/>
    <d v="2025-02-17T00:00:00"/>
    <x v="1"/>
    <s v="North"/>
    <s v="Mobile"/>
    <s v="Organic"/>
    <s v="Premium"/>
    <n v="1"/>
    <n v="0"/>
    <n v="0"/>
    <x v="0"/>
    <n v="0"/>
    <n v="0"/>
    <n v="0"/>
    <n v="0"/>
    <m/>
    <n v="51.8"/>
  </r>
  <r>
    <s v="USR-101365"/>
    <d v="2025-05-27T00:00:00"/>
    <x v="1"/>
    <s v="North"/>
    <s v="Desktop"/>
    <s v="Organic"/>
    <s v="Basic"/>
    <n v="0"/>
    <n v="0"/>
    <n v="0"/>
    <x v="0"/>
    <n v="0"/>
    <n v="0"/>
    <n v="0"/>
    <n v="0"/>
    <m/>
    <n v="87.9"/>
  </r>
  <r>
    <s v="USR-101366"/>
    <d v="2025-05-10T00:00:00"/>
    <x v="1"/>
    <s v="South"/>
    <s v="Mobile"/>
    <s v="Social"/>
    <s v="Premium"/>
    <n v="1"/>
    <n v="0"/>
    <n v="0"/>
    <x v="0"/>
    <n v="0"/>
    <n v="2"/>
    <n v="1"/>
    <n v="0"/>
    <m/>
    <n v="70.5"/>
  </r>
  <r>
    <s v="USR-101367"/>
    <d v="2025-01-20T00:00:00"/>
    <x v="1"/>
    <s v="North"/>
    <s v="Mobile"/>
    <s v="Organic"/>
    <s v="Basic"/>
    <n v="1"/>
    <n v="1"/>
    <n v="0"/>
    <x v="0"/>
    <n v="0"/>
    <n v="2"/>
    <n v="1"/>
    <n v="0"/>
    <m/>
    <n v="58.5"/>
  </r>
  <r>
    <s v="USR-101368"/>
    <d v="2025-01-19T00:00:00"/>
    <x v="1"/>
    <s v="East"/>
    <s v="Mobile"/>
    <s v="Referral"/>
    <s v="Free"/>
    <n v="1"/>
    <n v="0"/>
    <n v="0"/>
    <x v="0"/>
    <n v="0"/>
    <n v="0"/>
    <n v="0"/>
    <n v="0"/>
    <m/>
    <n v="65.599999999999994"/>
  </r>
  <r>
    <s v="USR-101369"/>
    <d v="2025-03-07T00:00:00"/>
    <x v="1"/>
    <s v="West"/>
    <s v="Desktop"/>
    <s v="Paid Search"/>
    <s v="Basic"/>
    <n v="1"/>
    <n v="1"/>
    <n v="0"/>
    <x v="0"/>
    <n v="0"/>
    <n v="0"/>
    <n v="0"/>
    <n v="0"/>
    <m/>
    <n v="62.7"/>
  </r>
  <r>
    <s v="USR-101370"/>
    <d v="2025-02-02T00:00:00"/>
    <x v="1"/>
    <s v="East"/>
    <s v="Mobile"/>
    <s v="Organic"/>
    <s v="Free"/>
    <n v="0"/>
    <n v="0"/>
    <n v="0"/>
    <x v="0"/>
    <n v="0"/>
    <n v="1"/>
    <n v="1"/>
    <n v="0"/>
    <m/>
    <n v="50.9"/>
  </r>
  <r>
    <s v="USR-101371"/>
    <d v="2025-03-07T00:00:00"/>
    <x v="1"/>
    <s v="North"/>
    <s v="Mobile"/>
    <s v="Organic"/>
    <s v="Free"/>
    <n v="0"/>
    <n v="0"/>
    <n v="0"/>
    <x v="0"/>
    <n v="0"/>
    <n v="1"/>
    <n v="1"/>
    <n v="0"/>
    <m/>
    <n v="60.6"/>
  </r>
  <r>
    <s v="USR-101372"/>
    <d v="2025-03-30T00:00:00"/>
    <x v="1"/>
    <s v="East"/>
    <s v="Desktop"/>
    <s v="Organic"/>
    <s v="Free"/>
    <n v="1"/>
    <n v="1"/>
    <n v="1"/>
    <x v="0"/>
    <n v="0"/>
    <n v="0"/>
    <n v="0"/>
    <n v="0"/>
    <m/>
    <n v="76.599999999999994"/>
  </r>
  <r>
    <s v="USR-101373"/>
    <d v="2025-05-05T00:00:00"/>
    <x v="1"/>
    <s v="East"/>
    <s v="Desktop"/>
    <s v="Paid Search"/>
    <s v="Free"/>
    <n v="1"/>
    <n v="1"/>
    <n v="1"/>
    <x v="0"/>
    <n v="0"/>
    <n v="0"/>
    <n v="0"/>
    <n v="0"/>
    <m/>
    <n v="54.4"/>
  </r>
  <r>
    <s v="USR-101374"/>
    <d v="2025-04-11T00:00:00"/>
    <x v="1"/>
    <s v="South"/>
    <s v="Mobile"/>
    <s v="Social"/>
    <s v="Free"/>
    <n v="1"/>
    <n v="0"/>
    <n v="0"/>
    <x v="0"/>
    <n v="0"/>
    <n v="0"/>
    <n v="0"/>
    <n v="0"/>
    <m/>
    <n v="31.2"/>
  </r>
  <r>
    <s v="USR-101375"/>
    <d v="2025-03-25T00:00:00"/>
    <x v="1"/>
    <s v="West"/>
    <s v="Desktop"/>
    <s v="Email"/>
    <s v="Premium"/>
    <n v="1"/>
    <n v="0"/>
    <n v="0"/>
    <x v="0"/>
    <n v="0"/>
    <n v="0"/>
    <n v="0"/>
    <n v="0"/>
    <m/>
    <n v="72.400000000000006"/>
  </r>
  <r>
    <s v="USR-101376"/>
    <d v="2025-03-24T00:00:00"/>
    <x v="1"/>
    <s v="North"/>
    <s v="Mobile"/>
    <s v="Organic"/>
    <s v="Premium"/>
    <n v="1"/>
    <n v="0"/>
    <n v="0"/>
    <x v="0"/>
    <n v="0"/>
    <n v="0"/>
    <n v="0"/>
    <n v="0"/>
    <m/>
    <n v="74.5"/>
  </r>
  <r>
    <s v="USR-101377"/>
    <d v="2025-04-27T00:00:00"/>
    <x v="1"/>
    <s v="East"/>
    <s v="Mobile"/>
    <s v="Organic"/>
    <s v="Basic"/>
    <n v="0"/>
    <n v="0"/>
    <n v="0"/>
    <x v="0"/>
    <n v="0"/>
    <n v="0"/>
    <n v="0"/>
    <n v="0"/>
    <m/>
    <n v="52.6"/>
  </r>
  <r>
    <s v="USR-101378"/>
    <d v="2025-01-25T00:00:00"/>
    <x v="1"/>
    <s v="North"/>
    <s v="Desktop"/>
    <s v="Paid Search"/>
    <s v="Free"/>
    <n v="1"/>
    <n v="0"/>
    <n v="0"/>
    <x v="0"/>
    <n v="0"/>
    <n v="0"/>
    <n v="0"/>
    <n v="0"/>
    <m/>
    <n v="75.400000000000006"/>
  </r>
  <r>
    <s v="USR-101379"/>
    <d v="2025-02-17T00:00:00"/>
    <x v="1"/>
    <s v="North"/>
    <s v="Tablet"/>
    <s v="Social"/>
    <s v="Basic"/>
    <n v="1"/>
    <n v="1"/>
    <n v="1"/>
    <x v="1"/>
    <n v="751.33"/>
    <n v="0"/>
    <n v="0"/>
    <n v="0"/>
    <n v="9"/>
    <n v="34"/>
  </r>
  <r>
    <s v="USR-101380"/>
    <d v="2025-04-13T00:00:00"/>
    <x v="1"/>
    <s v="South"/>
    <s v="Desktop"/>
    <s v="Organic"/>
    <s v="Free"/>
    <n v="1"/>
    <n v="0"/>
    <n v="0"/>
    <x v="0"/>
    <n v="0"/>
    <n v="0"/>
    <n v="0"/>
    <n v="0"/>
    <m/>
    <n v="67.099999999999994"/>
  </r>
  <r>
    <s v="USR-101381"/>
    <d v="2025-05-03T00:00:00"/>
    <x v="1"/>
    <s v="West"/>
    <s v="Desktop"/>
    <s v="Paid Search"/>
    <s v="Premium"/>
    <n v="1"/>
    <n v="0"/>
    <n v="0"/>
    <x v="0"/>
    <n v="0"/>
    <n v="0"/>
    <n v="0"/>
    <n v="0"/>
    <m/>
    <n v="37.299999999999997"/>
  </r>
  <r>
    <s v="USR-101382"/>
    <d v="2025-04-29T00:00:00"/>
    <x v="1"/>
    <s v="West"/>
    <s v="Mobile"/>
    <s v="Email"/>
    <s v="Free"/>
    <n v="1"/>
    <n v="0"/>
    <n v="0"/>
    <x v="0"/>
    <n v="0"/>
    <n v="0"/>
    <n v="0"/>
    <n v="0"/>
    <m/>
    <n v="54.7"/>
  </r>
  <r>
    <s v="USR-101383"/>
    <d v="2025-05-03T00:00:00"/>
    <x v="1"/>
    <s v="East"/>
    <s v="Desktop"/>
    <s v="Paid Search"/>
    <s v="Free"/>
    <n v="1"/>
    <n v="0"/>
    <n v="0"/>
    <x v="0"/>
    <n v="0"/>
    <n v="0"/>
    <n v="0"/>
    <n v="0"/>
    <m/>
    <n v="51.8"/>
  </r>
  <r>
    <s v="USR-101384"/>
    <d v="2025-04-28T00:00:00"/>
    <x v="1"/>
    <s v="West"/>
    <s v="Mobile"/>
    <s v="Paid Search"/>
    <s v="Free"/>
    <n v="0"/>
    <n v="0"/>
    <n v="0"/>
    <x v="0"/>
    <n v="0"/>
    <n v="0"/>
    <n v="0"/>
    <n v="0"/>
    <m/>
    <n v="49.2"/>
  </r>
  <r>
    <s v="USR-101385"/>
    <d v="2025-01-21T00:00:00"/>
    <x v="1"/>
    <s v="West"/>
    <s v="Mobile"/>
    <s v="Organic"/>
    <s v="Free"/>
    <n v="1"/>
    <n v="0"/>
    <n v="0"/>
    <x v="0"/>
    <n v="0"/>
    <n v="2"/>
    <n v="1"/>
    <n v="0"/>
    <m/>
    <n v="58.8"/>
  </r>
  <r>
    <s v="USR-101386"/>
    <d v="2025-01-21T00:00:00"/>
    <x v="1"/>
    <s v="North"/>
    <s v="Tablet"/>
    <s v="Paid Search"/>
    <s v="Basic"/>
    <n v="0"/>
    <n v="0"/>
    <n v="0"/>
    <x v="0"/>
    <n v="0"/>
    <n v="1"/>
    <n v="1"/>
    <n v="0"/>
    <m/>
    <n v="59.1"/>
  </r>
  <r>
    <s v="USR-101387"/>
    <d v="2025-05-21T00:00:00"/>
    <x v="1"/>
    <s v="West"/>
    <s v="Desktop"/>
    <s v="Paid Search"/>
    <s v="Free"/>
    <n v="1"/>
    <n v="0"/>
    <n v="0"/>
    <x v="0"/>
    <n v="0"/>
    <n v="2"/>
    <n v="1"/>
    <n v="0"/>
    <m/>
    <n v="49.6"/>
  </r>
  <r>
    <s v="USR-101388"/>
    <d v="2025-01-05T00:00:00"/>
    <x v="1"/>
    <s v="North"/>
    <s v="Mobile"/>
    <s v="Referral"/>
    <s v="Free"/>
    <n v="0"/>
    <n v="0"/>
    <n v="0"/>
    <x v="0"/>
    <n v="0"/>
    <n v="0"/>
    <n v="0"/>
    <n v="0"/>
    <m/>
    <n v="58.2"/>
  </r>
  <r>
    <s v="USR-101389"/>
    <d v="2025-03-06T00:00:00"/>
    <x v="1"/>
    <s v="South"/>
    <s v="Desktop"/>
    <s v="Organic"/>
    <s v="Free"/>
    <n v="1"/>
    <n v="0"/>
    <n v="0"/>
    <x v="0"/>
    <n v="0"/>
    <n v="0"/>
    <n v="0"/>
    <n v="0"/>
    <m/>
    <n v="66.8"/>
  </r>
  <r>
    <s v="USR-101390"/>
    <d v="2025-04-18T00:00:00"/>
    <x v="1"/>
    <s v="North"/>
    <s v="Mobile"/>
    <s v="Paid Search"/>
    <s v="Free"/>
    <n v="1"/>
    <n v="0"/>
    <n v="0"/>
    <x v="0"/>
    <n v="0"/>
    <n v="3"/>
    <n v="1"/>
    <n v="0"/>
    <m/>
    <n v="58.3"/>
  </r>
  <r>
    <s v="USR-101391"/>
    <d v="2025-04-15T00:00:00"/>
    <x v="1"/>
    <s v="West"/>
    <s v="Mobile"/>
    <s v="Organic"/>
    <s v="Basic"/>
    <n v="1"/>
    <n v="1"/>
    <n v="1"/>
    <x v="0"/>
    <n v="0"/>
    <n v="0"/>
    <n v="0"/>
    <n v="0"/>
    <m/>
    <n v="38.5"/>
  </r>
  <r>
    <s v="USR-101392"/>
    <d v="2025-02-10T00:00:00"/>
    <x v="1"/>
    <s v="East"/>
    <s v="Mobile"/>
    <s v="Paid Search"/>
    <s v="Free"/>
    <n v="1"/>
    <n v="0"/>
    <n v="0"/>
    <x v="0"/>
    <n v="0"/>
    <n v="0"/>
    <n v="0"/>
    <n v="0"/>
    <m/>
    <n v="76.900000000000006"/>
  </r>
  <r>
    <s v="USR-101393"/>
    <d v="2025-05-08T00:00:00"/>
    <x v="1"/>
    <s v="East"/>
    <s v="Mobile"/>
    <s v="Organic"/>
    <s v="Free"/>
    <n v="1"/>
    <n v="0"/>
    <n v="0"/>
    <x v="0"/>
    <n v="0"/>
    <n v="0"/>
    <n v="0"/>
    <n v="0"/>
    <m/>
    <n v="54"/>
  </r>
  <r>
    <s v="USR-101394"/>
    <d v="2025-05-28T00:00:00"/>
    <x v="1"/>
    <s v="East"/>
    <s v="Tablet"/>
    <s v="Organic"/>
    <s v="Free"/>
    <n v="1"/>
    <n v="0"/>
    <n v="0"/>
    <x v="0"/>
    <n v="0"/>
    <n v="0"/>
    <n v="0"/>
    <n v="0"/>
    <m/>
    <n v="70.599999999999994"/>
  </r>
  <r>
    <s v="USR-101395"/>
    <d v="2025-04-25T00:00:00"/>
    <x v="1"/>
    <s v="North"/>
    <s v="Tablet"/>
    <s v="Referral"/>
    <s v="Premium"/>
    <n v="1"/>
    <n v="1"/>
    <n v="1"/>
    <x v="0"/>
    <n v="0"/>
    <n v="1"/>
    <n v="1"/>
    <n v="0"/>
    <m/>
    <n v="69.400000000000006"/>
  </r>
  <r>
    <s v="USR-101396"/>
    <d v="2025-02-11T00:00:00"/>
    <x v="1"/>
    <s v="South"/>
    <s v="Mobile"/>
    <m/>
    <s v="Premium"/>
    <n v="1"/>
    <n v="1"/>
    <n v="1"/>
    <x v="1"/>
    <n v="1009.9"/>
    <n v="0"/>
    <n v="0"/>
    <n v="0"/>
    <n v="6"/>
    <n v="89.7"/>
  </r>
  <r>
    <s v="USR-101397"/>
    <d v="2025-04-14T00:00:00"/>
    <x v="1"/>
    <s v="West"/>
    <s v="Mobile"/>
    <s v="Organic"/>
    <s v="Free"/>
    <n v="1"/>
    <n v="0"/>
    <n v="0"/>
    <x v="0"/>
    <n v="0"/>
    <n v="0"/>
    <n v="0"/>
    <n v="0"/>
    <m/>
    <n v="62.4"/>
  </r>
  <r>
    <s v="USR-101398"/>
    <d v="2025-02-04T00:00:00"/>
    <x v="1"/>
    <s v="West"/>
    <s v="Tablet"/>
    <s v="Organic"/>
    <s v="Premium"/>
    <n v="0"/>
    <n v="0"/>
    <n v="0"/>
    <x v="0"/>
    <n v="0"/>
    <n v="0"/>
    <n v="0"/>
    <n v="0"/>
    <m/>
    <n v="67.3"/>
  </r>
  <r>
    <s v="USR-101399"/>
    <d v="2025-03-22T00:00:00"/>
    <x v="1"/>
    <s v="East"/>
    <s v="Mobile"/>
    <s v="Referral"/>
    <s v="Free"/>
    <n v="1"/>
    <n v="0"/>
    <n v="0"/>
    <x v="0"/>
    <n v="0"/>
    <n v="0"/>
    <n v="0"/>
    <n v="0"/>
    <m/>
    <n v="54.9"/>
  </r>
  <r>
    <s v="USR-101400"/>
    <d v="2025-04-18T00:00:00"/>
    <x v="1"/>
    <s v="East"/>
    <s v="Desktop"/>
    <s v="Social"/>
    <s v="Free"/>
    <n v="0"/>
    <n v="0"/>
    <n v="0"/>
    <x v="0"/>
    <n v="0"/>
    <n v="0"/>
    <n v="0"/>
    <n v="0"/>
    <m/>
    <n v="55.7"/>
  </r>
  <r>
    <s v="USR-101059"/>
    <d v="2025-05-16T00:00:00"/>
    <x v="1"/>
    <s v="South"/>
    <s v="Mobile"/>
    <s v="Organic"/>
    <s v="Free"/>
    <n v="1"/>
    <n v="0"/>
    <n v="0"/>
    <x v="0"/>
    <n v="0"/>
    <n v="0"/>
    <n v="0"/>
    <n v="0"/>
    <m/>
    <n v="70.3"/>
  </r>
  <r>
    <s v="USR-101059"/>
    <d v="2025-05-16T00:00:00"/>
    <x v="1"/>
    <s v="South"/>
    <s v="Mobile"/>
    <s v="Organic"/>
    <s v="Free"/>
    <n v="1"/>
    <n v="0"/>
    <n v="0"/>
    <x v="0"/>
    <n v="0"/>
    <n v="0"/>
    <n v="0"/>
    <n v="0"/>
    <m/>
    <n v="70.3"/>
  </r>
  <r>
    <s v="USR-101210"/>
    <d v="2025-02-24T00:00:00"/>
    <x v="1"/>
    <s v="West"/>
    <s v="Mobile"/>
    <s v="Organic"/>
    <s v="Basic"/>
    <n v="1"/>
    <n v="0"/>
    <n v="0"/>
    <x v="0"/>
    <n v="0"/>
    <n v="0"/>
    <n v="0"/>
    <n v="0"/>
    <m/>
    <n v="62"/>
  </r>
  <r>
    <s v="USR-101210"/>
    <d v="2025-02-24T00:00:00"/>
    <x v="1"/>
    <s v="West"/>
    <s v="Mobile"/>
    <s v="Organic"/>
    <s v="Basic"/>
    <n v="1"/>
    <n v="0"/>
    <n v="0"/>
    <x v="0"/>
    <n v="0"/>
    <n v="0"/>
    <n v="0"/>
    <n v="0"/>
    <m/>
    <n v="62"/>
  </r>
  <r>
    <s v="USR-101232"/>
    <d v="2025-03-30T00:00:00"/>
    <x v="1"/>
    <s v="East"/>
    <s v="Mobile"/>
    <s v="Organic"/>
    <s v="Free"/>
    <n v="1"/>
    <n v="1"/>
    <n v="1"/>
    <x v="0"/>
    <n v="0"/>
    <n v="1"/>
    <n v="1"/>
    <n v="0"/>
    <m/>
    <n v="72.5"/>
  </r>
  <r>
    <s v="USR-101232"/>
    <d v="2025-03-30T00:00:00"/>
    <x v="1"/>
    <s v="East"/>
    <s v="Mobile"/>
    <s v="Organic"/>
    <s v="Free"/>
    <n v="1"/>
    <n v="1"/>
    <n v="1"/>
    <x v="0"/>
    <n v="0"/>
    <n v="1"/>
    <n v="1"/>
    <n v="0"/>
    <m/>
    <n v="72.5"/>
  </r>
  <r>
    <s v="USR-101362"/>
    <d v="2025-05-23T00:00:00"/>
    <x v="1"/>
    <s v="East"/>
    <s v="Mobile"/>
    <s v="Organic"/>
    <s v="Basic"/>
    <n v="1"/>
    <n v="0"/>
    <n v="0"/>
    <x v="0"/>
    <n v="0"/>
    <n v="0"/>
    <n v="0"/>
    <n v="0"/>
    <m/>
    <n v="33.6"/>
  </r>
  <r>
    <s v="USR-101362"/>
    <d v="2025-05-23T00:00:00"/>
    <x v="1"/>
    <s v="East"/>
    <s v="Mobile"/>
    <s v="Organic"/>
    <s v="Basic"/>
    <n v="1"/>
    <n v="0"/>
    <n v="0"/>
    <x v="0"/>
    <n v="0"/>
    <n v="0"/>
    <n v="0"/>
    <n v="0"/>
    <m/>
    <n v="33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0D5A1-60C4-4DD1-A89B-DF7B91C8A129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5:J18" firstHeaderRow="1" firstDataRow="1" firstDataCol="1" rowPageCount="1" colPageCount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10" item="1" hier="-1"/>
  </pageFields>
  <dataFields count="1">
    <dataField name="Average of revenue_30d" fld="11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D509A-5542-498B-8419-6D12A312C762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G5" firstHeaderRow="1" firstDataRow="1" firstDataCol="1"/>
  <pivotFields count="17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57691B-582E-4932-B13A-C2C6201C5A9D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8:J11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revenue_30d" fld="11" subtotal="average" baseField="2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E6F32-4D00-44FB-BC79-E2543B434634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5:M18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days_to_convert" fld="15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31361-F44F-4C2C-97CA-A562952BA2AD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8:M11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engagement_score" fld="16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18269-7CD5-44F1-AA6B-D09AE81232CC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J5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converted_to_paid" fld="10" subtotal="average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6B87E7-92D9-4221-AF52-2AC8725089D8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:M5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has_support_ticket" fld="13" subtotal="average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4BF14-D850-4822-8CD1-B18BF53A914A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0:G23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completed_onboarding" fld="9" subtotal="average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CB8E9-E91B-4119-AA05-E4CDBEEA838D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4:G17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started_trial" fld="8" subtotal="average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187B3-BF13-46EE-A549-EB06CBA3EF9D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1:J24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refund_requested" fld="14" subtotal="average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6F1D26-DF0A-488E-BB44-42C50AA1CD4B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8:G11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visited_landing_page" fld="7" subtotal="average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8989-2829-4003-AA8C-F218A14C363E}">
  <dimension ref="A1:Q1409"/>
  <sheetViews>
    <sheetView zoomScale="80" zoomScaleNormal="80" workbookViewId="0">
      <selection activeCell="H10" sqref="A1:Q1409"/>
    </sheetView>
  </sheetViews>
  <sheetFormatPr defaultRowHeight="14.5"/>
  <cols>
    <col min="1" max="1" width="14" customWidth="1"/>
    <col min="2" max="2" width="14.90625" customWidth="1"/>
    <col min="3" max="3" width="19.6328125" bestFit="1" customWidth="1"/>
    <col min="4" max="4" width="10.1796875" customWidth="1"/>
    <col min="5" max="5" width="14.1796875" customWidth="1"/>
    <col min="6" max="6" width="17.453125" customWidth="1"/>
    <col min="7" max="7" width="12.453125" customWidth="1"/>
    <col min="8" max="8" width="23.7265625" customWidth="1"/>
    <col min="9" max="9" width="13.90625" customWidth="1"/>
    <col min="10" max="10" width="25.6328125" customWidth="1"/>
    <col min="11" max="11" width="19.36328125" customWidth="1"/>
    <col min="12" max="12" width="17.453125" customWidth="1"/>
    <col min="13" max="14" width="21.36328125" customWidth="1"/>
    <col min="15" max="15" width="21.08984375" customWidth="1"/>
    <col min="16" max="16" width="17.453125" customWidth="1"/>
    <col min="17" max="17" width="20.1796875" customWidth="1"/>
  </cols>
  <sheetData>
    <row r="1" spans="1:17" ht="18.649999999999999" customHeight="1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9" t="s">
        <v>1454</v>
      </c>
      <c r="O1" s="3" t="s">
        <v>27</v>
      </c>
      <c r="P1" s="3" t="s">
        <v>28</v>
      </c>
      <c r="Q1" s="3" t="s">
        <v>29</v>
      </c>
    </row>
    <row r="2" spans="1:17">
      <c r="A2" s="1" t="s">
        <v>30</v>
      </c>
      <c r="B2" s="4">
        <v>45732</v>
      </c>
      <c r="C2" s="1" t="s">
        <v>1</v>
      </c>
      <c r="D2" s="1" t="s">
        <v>31</v>
      </c>
      <c r="E2" s="1" t="s">
        <v>32</v>
      </c>
      <c r="F2" s="1" t="s">
        <v>33</v>
      </c>
      <c r="G2" s="1" t="s">
        <v>34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f>IF(M2&gt;0,1,0)</f>
        <v>0</v>
      </c>
      <c r="O2" s="1">
        <v>0</v>
      </c>
      <c r="P2" s="1"/>
      <c r="Q2" s="1">
        <v>45.7</v>
      </c>
    </row>
    <row r="3" spans="1:17">
      <c r="A3" s="1" t="s">
        <v>35</v>
      </c>
      <c r="B3" s="4">
        <v>45724</v>
      </c>
      <c r="C3" s="1" t="s">
        <v>1</v>
      </c>
      <c r="D3" s="1" t="s">
        <v>36</v>
      </c>
      <c r="E3" s="1" t="s">
        <v>37</v>
      </c>
      <c r="F3" s="1" t="s">
        <v>38</v>
      </c>
      <c r="G3" s="1" t="s">
        <v>39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f t="shared" ref="N3:N66" si="0">IF(M3&gt;0,1,0)</f>
        <v>0</v>
      </c>
      <c r="O3" s="1">
        <v>0</v>
      </c>
      <c r="P3" s="1"/>
      <c r="Q3" s="1">
        <v>48.6</v>
      </c>
    </row>
    <row r="4" spans="1:17">
      <c r="A4" s="1" t="s">
        <v>40</v>
      </c>
      <c r="B4" s="4">
        <v>45771</v>
      </c>
      <c r="C4" s="1" t="s">
        <v>1</v>
      </c>
      <c r="D4" s="1" t="s">
        <v>41</v>
      </c>
      <c r="E4" s="1" t="s">
        <v>37</v>
      </c>
      <c r="F4" s="1" t="s">
        <v>42</v>
      </c>
      <c r="G4" s="1" t="s">
        <v>43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f t="shared" si="0"/>
        <v>1</v>
      </c>
      <c r="O4" s="1">
        <v>0</v>
      </c>
      <c r="P4" s="1"/>
      <c r="Q4" s="1">
        <v>35.4</v>
      </c>
    </row>
    <row r="5" spans="1:17">
      <c r="A5" s="1" t="s">
        <v>44</v>
      </c>
      <c r="B5" s="4">
        <v>45781</v>
      </c>
      <c r="C5" s="1" t="s">
        <v>1</v>
      </c>
      <c r="D5" s="1" t="s">
        <v>45</v>
      </c>
      <c r="E5" s="1" t="s">
        <v>37</v>
      </c>
      <c r="F5" s="1" t="s">
        <v>33</v>
      </c>
      <c r="G5" s="1" t="s">
        <v>34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f t="shared" si="0"/>
        <v>0</v>
      </c>
      <c r="O5" s="1">
        <v>0</v>
      </c>
      <c r="P5" s="1"/>
      <c r="Q5" s="1">
        <v>64.599999999999994</v>
      </c>
    </row>
    <row r="6" spans="1:17">
      <c r="A6" s="1" t="s">
        <v>46</v>
      </c>
      <c r="B6" s="4">
        <v>45700</v>
      </c>
      <c r="C6" s="1" t="s">
        <v>1</v>
      </c>
      <c r="D6" s="1" t="s">
        <v>31</v>
      </c>
      <c r="E6" s="1" t="s">
        <v>47</v>
      </c>
      <c r="F6" s="1" t="s">
        <v>38</v>
      </c>
      <c r="G6" s="1" t="s">
        <v>39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f t="shared" si="0"/>
        <v>0</v>
      </c>
      <c r="O6" s="1">
        <v>0</v>
      </c>
      <c r="P6" s="1"/>
      <c r="Q6" s="1">
        <v>66.599999999999994</v>
      </c>
    </row>
    <row r="7" spans="1:17">
      <c r="A7" s="1" t="s">
        <v>48</v>
      </c>
      <c r="B7" s="4">
        <v>45685</v>
      </c>
      <c r="C7" s="1" t="s">
        <v>1</v>
      </c>
      <c r="D7" s="1" t="s">
        <v>41</v>
      </c>
      <c r="E7" s="1" t="s">
        <v>37</v>
      </c>
      <c r="F7" s="1" t="s">
        <v>38</v>
      </c>
      <c r="G7" s="1" t="s">
        <v>43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f t="shared" si="0"/>
        <v>0</v>
      </c>
      <c r="O7" s="1">
        <v>0</v>
      </c>
      <c r="P7" s="1"/>
      <c r="Q7" s="1">
        <v>40.799999999999997</v>
      </c>
    </row>
    <row r="8" spans="1:17">
      <c r="A8" s="1" t="s">
        <v>49</v>
      </c>
      <c r="B8" s="4">
        <v>45755</v>
      </c>
      <c r="C8" s="1" t="s">
        <v>1</v>
      </c>
      <c r="D8" s="1" t="s">
        <v>41</v>
      </c>
      <c r="E8" s="1" t="s">
        <v>37</v>
      </c>
      <c r="F8" s="1" t="s">
        <v>42</v>
      </c>
      <c r="G8" s="1" t="s">
        <v>34</v>
      </c>
      <c r="H8" s="1">
        <v>1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f t="shared" si="0"/>
        <v>0</v>
      </c>
      <c r="O8" s="1">
        <v>0</v>
      </c>
      <c r="P8" s="1"/>
      <c r="Q8" s="1">
        <v>57.1</v>
      </c>
    </row>
    <row r="9" spans="1:17">
      <c r="A9" s="1" t="s">
        <v>50</v>
      </c>
      <c r="B9" s="4">
        <v>45794</v>
      </c>
      <c r="C9" s="1" t="s">
        <v>1</v>
      </c>
      <c r="D9" s="1" t="s">
        <v>45</v>
      </c>
      <c r="E9" s="1" t="s">
        <v>37</v>
      </c>
      <c r="F9" s="1" t="s">
        <v>42</v>
      </c>
      <c r="G9" s="1" t="s">
        <v>39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f t="shared" si="0"/>
        <v>0</v>
      </c>
      <c r="O9" s="1">
        <v>0</v>
      </c>
      <c r="P9" s="1"/>
      <c r="Q9" s="1">
        <v>36.4</v>
      </c>
    </row>
    <row r="10" spans="1:17">
      <c r="A10" s="1" t="s">
        <v>51</v>
      </c>
      <c r="B10" s="4">
        <v>45711</v>
      </c>
      <c r="C10" s="1" t="s">
        <v>1</v>
      </c>
      <c r="D10" s="1" t="s">
        <v>45</v>
      </c>
      <c r="E10" s="1" t="s">
        <v>47</v>
      </c>
      <c r="F10" s="1" t="s">
        <v>52</v>
      </c>
      <c r="G10" s="1" t="s">
        <v>34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f t="shared" si="0"/>
        <v>0</v>
      </c>
      <c r="O10" s="1">
        <v>0</v>
      </c>
      <c r="P10" s="1"/>
      <c r="Q10" s="1">
        <v>55.4</v>
      </c>
    </row>
    <row r="11" spans="1:17">
      <c r="A11" s="1" t="s">
        <v>53</v>
      </c>
      <c r="B11" s="4">
        <v>45806</v>
      </c>
      <c r="C11" s="1" t="s">
        <v>1</v>
      </c>
      <c r="D11" s="1" t="s">
        <v>36</v>
      </c>
      <c r="E11" s="1" t="s">
        <v>32</v>
      </c>
      <c r="F11" s="1" t="s">
        <v>54</v>
      </c>
      <c r="G11" s="1" t="s">
        <v>39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f t="shared" si="0"/>
        <v>0</v>
      </c>
      <c r="O11" s="1">
        <v>0</v>
      </c>
      <c r="P11" s="1"/>
      <c r="Q11" s="1">
        <v>57.3</v>
      </c>
    </row>
    <row r="12" spans="1:17">
      <c r="A12" s="1" t="s">
        <v>55</v>
      </c>
      <c r="B12" s="4">
        <v>45777</v>
      </c>
      <c r="C12" s="1" t="s">
        <v>1</v>
      </c>
      <c r="D12" s="1" t="s">
        <v>41</v>
      </c>
      <c r="E12" s="1" t="s">
        <v>37</v>
      </c>
      <c r="F12" s="1" t="s">
        <v>42</v>
      </c>
      <c r="G12" s="1" t="s">
        <v>34</v>
      </c>
      <c r="H12" s="1">
        <v>1</v>
      </c>
      <c r="I12" s="1">
        <v>1</v>
      </c>
      <c r="J12" s="1">
        <v>1</v>
      </c>
      <c r="K12" s="1">
        <v>0</v>
      </c>
      <c r="L12" s="1">
        <v>0</v>
      </c>
      <c r="M12" s="1">
        <v>0</v>
      </c>
      <c r="N12" s="1">
        <f t="shared" si="0"/>
        <v>0</v>
      </c>
      <c r="O12" s="1">
        <v>0</v>
      </c>
      <c r="P12" s="1"/>
      <c r="Q12" s="1">
        <v>63.6</v>
      </c>
    </row>
    <row r="13" spans="1:17">
      <c r="A13" s="1" t="s">
        <v>56</v>
      </c>
      <c r="B13" s="4">
        <v>45732</v>
      </c>
      <c r="C13" s="1" t="s">
        <v>1</v>
      </c>
      <c r="D13" s="1" t="s">
        <v>41</v>
      </c>
      <c r="E13" s="1" t="s">
        <v>37</v>
      </c>
      <c r="F13" s="1" t="s">
        <v>54</v>
      </c>
      <c r="G13" s="1" t="s">
        <v>43</v>
      </c>
      <c r="H13" s="1">
        <v>1</v>
      </c>
      <c r="I13" s="1">
        <v>1</v>
      </c>
      <c r="J13" s="1">
        <v>1</v>
      </c>
      <c r="K13" s="1">
        <v>0</v>
      </c>
      <c r="L13" s="1">
        <v>0</v>
      </c>
      <c r="M13" s="1">
        <v>1</v>
      </c>
      <c r="N13" s="1">
        <f t="shared" si="0"/>
        <v>1</v>
      </c>
      <c r="O13" s="1">
        <v>0</v>
      </c>
      <c r="P13" s="1"/>
      <c r="Q13" s="1">
        <v>80.400000000000006</v>
      </c>
    </row>
    <row r="14" spans="1:17">
      <c r="A14" s="1" t="s">
        <v>57</v>
      </c>
      <c r="B14" s="4">
        <v>45695</v>
      </c>
      <c r="C14" s="1" t="s">
        <v>1</v>
      </c>
      <c r="D14" s="1" t="s">
        <v>45</v>
      </c>
      <c r="E14" s="1" t="s">
        <v>32</v>
      </c>
      <c r="F14" s="1" t="s">
        <v>33</v>
      </c>
      <c r="G14" s="1" t="s">
        <v>34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f t="shared" si="0"/>
        <v>0</v>
      </c>
      <c r="O14" s="1">
        <v>0</v>
      </c>
      <c r="P14" s="1"/>
      <c r="Q14" s="1">
        <v>62.4</v>
      </c>
    </row>
    <row r="15" spans="1:17">
      <c r="A15" s="1" t="s">
        <v>58</v>
      </c>
      <c r="B15" s="4">
        <v>45718</v>
      </c>
      <c r="C15" s="1" t="s">
        <v>1</v>
      </c>
      <c r="D15" s="1" t="s">
        <v>36</v>
      </c>
      <c r="E15" s="1" t="s">
        <v>37</v>
      </c>
      <c r="F15" s="1" t="s">
        <v>54</v>
      </c>
      <c r="G15" s="1" t="s">
        <v>34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f t="shared" si="0"/>
        <v>0</v>
      </c>
      <c r="O15" s="1">
        <v>0</v>
      </c>
      <c r="P15" s="1"/>
      <c r="Q15" s="1">
        <v>82.4</v>
      </c>
    </row>
    <row r="16" spans="1:17">
      <c r="A16" s="1" t="s">
        <v>59</v>
      </c>
      <c r="B16" s="4">
        <v>45807</v>
      </c>
      <c r="C16" s="1" t="s">
        <v>1</v>
      </c>
      <c r="D16" s="1" t="s">
        <v>45</v>
      </c>
      <c r="E16" s="1" t="s">
        <v>37</v>
      </c>
      <c r="F16" s="1" t="s">
        <v>38</v>
      </c>
      <c r="G16" s="1" t="s">
        <v>34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f t="shared" si="0"/>
        <v>0</v>
      </c>
      <c r="O16" s="1">
        <v>0</v>
      </c>
      <c r="P16" s="1"/>
      <c r="Q16" s="1">
        <v>61.2</v>
      </c>
    </row>
    <row r="17" spans="1:17">
      <c r="A17" s="1" t="s">
        <v>60</v>
      </c>
      <c r="B17" s="4">
        <v>45741</v>
      </c>
      <c r="C17" s="1" t="s">
        <v>1</v>
      </c>
      <c r="D17" s="1" t="s">
        <v>45</v>
      </c>
      <c r="E17" s="1" t="s">
        <v>37</v>
      </c>
      <c r="F17" s="1" t="s">
        <v>54</v>
      </c>
      <c r="G17" s="1" t="s">
        <v>34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f t="shared" si="0"/>
        <v>0</v>
      </c>
      <c r="O17" s="1">
        <v>0</v>
      </c>
      <c r="P17" s="1"/>
      <c r="Q17" s="1">
        <v>68.900000000000006</v>
      </c>
    </row>
    <row r="18" spans="1:17">
      <c r="A18" s="1" t="s">
        <v>61</v>
      </c>
      <c r="B18" s="4">
        <v>45743</v>
      </c>
      <c r="C18" s="1" t="s">
        <v>1</v>
      </c>
      <c r="D18" s="1" t="s">
        <v>41</v>
      </c>
      <c r="E18" s="1" t="s">
        <v>32</v>
      </c>
      <c r="F18" s="1" t="s">
        <v>42</v>
      </c>
      <c r="G18" s="1" t="s">
        <v>39</v>
      </c>
      <c r="H18" s="1">
        <v>1</v>
      </c>
      <c r="I18" s="1">
        <v>1</v>
      </c>
      <c r="J18" s="1">
        <v>1</v>
      </c>
      <c r="K18" s="1">
        <v>0</v>
      </c>
      <c r="L18" s="1">
        <v>0</v>
      </c>
      <c r="M18" s="1">
        <v>0</v>
      </c>
      <c r="N18" s="1">
        <f t="shared" si="0"/>
        <v>0</v>
      </c>
      <c r="O18" s="1">
        <v>0</v>
      </c>
      <c r="P18" s="1"/>
      <c r="Q18" s="1">
        <v>71.900000000000006</v>
      </c>
    </row>
    <row r="19" spans="1:17">
      <c r="A19" s="1" t="s">
        <v>62</v>
      </c>
      <c r="B19" s="4">
        <v>45805</v>
      </c>
      <c r="C19" s="1" t="s">
        <v>1</v>
      </c>
      <c r="D19" s="1" t="s">
        <v>45</v>
      </c>
      <c r="E19" s="1" t="s">
        <v>32</v>
      </c>
      <c r="F19" s="1" t="s">
        <v>42</v>
      </c>
      <c r="G19" s="1" t="s">
        <v>39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f t="shared" si="0"/>
        <v>0</v>
      </c>
      <c r="O19" s="1">
        <v>0</v>
      </c>
      <c r="P19" s="1"/>
      <c r="Q19" s="1">
        <v>50.5</v>
      </c>
    </row>
    <row r="20" spans="1:17">
      <c r="A20" s="1" t="s">
        <v>63</v>
      </c>
      <c r="B20" s="4">
        <v>45703</v>
      </c>
      <c r="C20" s="1" t="s">
        <v>1</v>
      </c>
      <c r="D20" s="1" t="s">
        <v>31</v>
      </c>
      <c r="E20" s="1" t="s">
        <v>32</v>
      </c>
      <c r="F20" s="1" t="s">
        <v>42</v>
      </c>
      <c r="G20" s="1" t="s">
        <v>34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f t="shared" si="0"/>
        <v>0</v>
      </c>
      <c r="O20" s="1">
        <v>0</v>
      </c>
      <c r="P20" s="1"/>
      <c r="Q20" s="1">
        <v>49.3</v>
      </c>
    </row>
    <row r="21" spans="1:17">
      <c r="A21" s="1" t="s">
        <v>64</v>
      </c>
      <c r="B21" s="4">
        <v>45782</v>
      </c>
      <c r="C21" s="1" t="s">
        <v>1</v>
      </c>
      <c r="D21" s="1" t="s">
        <v>36</v>
      </c>
      <c r="E21" s="1" t="s">
        <v>32</v>
      </c>
      <c r="F21" s="1" t="s">
        <v>38</v>
      </c>
      <c r="G21" s="1" t="s">
        <v>34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2</v>
      </c>
      <c r="N21" s="1">
        <f t="shared" si="0"/>
        <v>1</v>
      </c>
      <c r="O21" s="1">
        <v>0</v>
      </c>
      <c r="P21" s="1"/>
      <c r="Q21" s="1">
        <v>60.9</v>
      </c>
    </row>
    <row r="22" spans="1:17">
      <c r="A22" s="1" t="s">
        <v>65</v>
      </c>
      <c r="B22" s="4">
        <v>45760</v>
      </c>
      <c r="C22" s="1" t="s">
        <v>1</v>
      </c>
      <c r="D22" s="1" t="s">
        <v>41</v>
      </c>
      <c r="E22" s="1" t="s">
        <v>37</v>
      </c>
      <c r="F22" s="1" t="s">
        <v>54</v>
      </c>
      <c r="G22" s="1" t="s">
        <v>39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f t="shared" si="0"/>
        <v>0</v>
      </c>
      <c r="O22" s="1">
        <v>0</v>
      </c>
      <c r="P22" s="1"/>
      <c r="Q22" s="1">
        <v>62.7</v>
      </c>
    </row>
    <row r="23" spans="1:17">
      <c r="A23" s="1" t="s">
        <v>66</v>
      </c>
      <c r="B23" s="4">
        <v>45784</v>
      </c>
      <c r="C23" s="1" t="s">
        <v>1</v>
      </c>
      <c r="D23" s="1" t="s">
        <v>31</v>
      </c>
      <c r="E23" s="1" t="s">
        <v>32</v>
      </c>
      <c r="F23" s="1" t="s">
        <v>42</v>
      </c>
      <c r="G23" s="1" t="s">
        <v>39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f t="shared" si="0"/>
        <v>0</v>
      </c>
      <c r="O23" s="1">
        <v>0</v>
      </c>
      <c r="P23" s="1"/>
      <c r="Q23" s="1">
        <v>52.7</v>
      </c>
    </row>
    <row r="24" spans="1:17">
      <c r="A24" s="1" t="s">
        <v>67</v>
      </c>
      <c r="B24" s="4">
        <v>45802</v>
      </c>
      <c r="C24" s="1" t="s">
        <v>1</v>
      </c>
      <c r="D24" s="1" t="s">
        <v>31</v>
      </c>
      <c r="E24" s="1" t="s">
        <v>32</v>
      </c>
      <c r="F24" s="1" t="s">
        <v>38</v>
      </c>
      <c r="G24" s="1" t="s">
        <v>39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f t="shared" si="0"/>
        <v>0</v>
      </c>
      <c r="O24" s="1">
        <v>0</v>
      </c>
      <c r="P24" s="1"/>
      <c r="Q24" s="1">
        <v>54</v>
      </c>
    </row>
    <row r="25" spans="1:17">
      <c r="A25" s="1" t="s">
        <v>68</v>
      </c>
      <c r="B25" s="4">
        <v>45748</v>
      </c>
      <c r="C25" s="1" t="s">
        <v>1</v>
      </c>
      <c r="D25" s="1" t="s">
        <v>41</v>
      </c>
      <c r="E25" s="1" t="s">
        <v>37</v>
      </c>
      <c r="F25" s="1" t="s">
        <v>42</v>
      </c>
      <c r="G25" s="1" t="s">
        <v>43</v>
      </c>
      <c r="H25" s="1">
        <v>1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f t="shared" si="0"/>
        <v>0</v>
      </c>
      <c r="O25" s="1">
        <v>0</v>
      </c>
      <c r="P25" s="1"/>
      <c r="Q25" s="1">
        <v>51.6</v>
      </c>
    </row>
    <row r="26" spans="1:17">
      <c r="A26" s="1" t="s">
        <v>69</v>
      </c>
      <c r="B26" s="4">
        <v>45710</v>
      </c>
      <c r="C26" s="1" t="s">
        <v>1</v>
      </c>
      <c r="D26" s="1" t="s">
        <v>31</v>
      </c>
      <c r="E26" s="1" t="s">
        <v>37</v>
      </c>
      <c r="F26" s="1" t="s">
        <v>42</v>
      </c>
      <c r="G26" s="1" t="s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2</v>
      </c>
      <c r="N26" s="1">
        <f t="shared" si="0"/>
        <v>1</v>
      </c>
      <c r="O26" s="1">
        <v>0</v>
      </c>
      <c r="P26" s="1"/>
      <c r="Q26" s="1">
        <v>66.900000000000006</v>
      </c>
    </row>
    <row r="27" spans="1:17">
      <c r="A27" s="1" t="s">
        <v>70</v>
      </c>
      <c r="B27" s="4">
        <v>45740</v>
      </c>
      <c r="C27" s="1" t="s">
        <v>1</v>
      </c>
      <c r="D27" s="1" t="s">
        <v>41</v>
      </c>
      <c r="E27" s="1" t="s">
        <v>37</v>
      </c>
      <c r="F27" s="1" t="s">
        <v>38</v>
      </c>
      <c r="G27" s="1" t="s">
        <v>34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f t="shared" si="0"/>
        <v>0</v>
      </c>
      <c r="O27" s="1">
        <v>0</v>
      </c>
      <c r="P27" s="1"/>
      <c r="Q27" s="1">
        <v>67.400000000000006</v>
      </c>
    </row>
    <row r="28" spans="1:17">
      <c r="A28" s="1" t="s">
        <v>71</v>
      </c>
      <c r="B28" s="4">
        <v>45701</v>
      </c>
      <c r="C28" s="1" t="s">
        <v>1</v>
      </c>
      <c r="D28" s="1" t="s">
        <v>31</v>
      </c>
      <c r="E28" s="1" t="s">
        <v>37</v>
      </c>
      <c r="F28" s="1" t="s">
        <v>38</v>
      </c>
      <c r="G28" s="1" t="s">
        <v>39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f t="shared" si="0"/>
        <v>0</v>
      </c>
      <c r="O28" s="1">
        <v>0</v>
      </c>
      <c r="P28" s="1"/>
      <c r="Q28" s="1">
        <v>58.8</v>
      </c>
    </row>
    <row r="29" spans="1:17">
      <c r="A29" s="1" t="s">
        <v>72</v>
      </c>
      <c r="B29" s="4">
        <v>45807</v>
      </c>
      <c r="C29" s="1" t="s">
        <v>1</v>
      </c>
      <c r="D29" s="1" t="s">
        <v>45</v>
      </c>
      <c r="E29" s="1" t="s">
        <v>37</v>
      </c>
      <c r="F29" s="1" t="s">
        <v>38</v>
      </c>
      <c r="G29" s="1" t="s">
        <v>39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f t="shared" si="0"/>
        <v>0</v>
      </c>
      <c r="O29" s="1">
        <v>0</v>
      </c>
      <c r="P29" s="1"/>
      <c r="Q29" s="1">
        <v>73.8</v>
      </c>
    </row>
    <row r="30" spans="1:17">
      <c r="A30" s="1" t="s">
        <v>73</v>
      </c>
      <c r="B30" s="4">
        <v>45677</v>
      </c>
      <c r="C30" s="1" t="s">
        <v>1</v>
      </c>
      <c r="D30" s="1" t="s">
        <v>41</v>
      </c>
      <c r="E30" s="1" t="s">
        <v>47</v>
      </c>
      <c r="F30" s="1" t="s">
        <v>38</v>
      </c>
      <c r="G30" s="1" t="s">
        <v>34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f t="shared" si="0"/>
        <v>0</v>
      </c>
      <c r="O30" s="1">
        <v>0</v>
      </c>
      <c r="P30" s="1"/>
      <c r="Q30" s="1">
        <v>60.1</v>
      </c>
    </row>
    <row r="31" spans="1:17">
      <c r="A31" s="1" t="s">
        <v>74</v>
      </c>
      <c r="B31" s="4">
        <v>45796</v>
      </c>
      <c r="C31" s="1" t="s">
        <v>1</v>
      </c>
      <c r="D31" s="1" t="s">
        <v>41</v>
      </c>
      <c r="E31" s="1" t="s">
        <v>37</v>
      </c>
      <c r="F31" s="1" t="s">
        <v>54</v>
      </c>
      <c r="G31" s="1" t="s">
        <v>34</v>
      </c>
      <c r="H31" s="1">
        <v>1</v>
      </c>
      <c r="I31" s="1">
        <v>1</v>
      </c>
      <c r="J31" s="1">
        <v>1</v>
      </c>
      <c r="K31" s="1">
        <v>0</v>
      </c>
      <c r="L31" s="1">
        <v>0</v>
      </c>
      <c r="M31" s="1">
        <v>0</v>
      </c>
      <c r="N31" s="1">
        <f t="shared" si="0"/>
        <v>0</v>
      </c>
      <c r="O31" s="1">
        <v>0</v>
      </c>
      <c r="P31" s="1"/>
      <c r="Q31" s="1">
        <v>41</v>
      </c>
    </row>
    <row r="32" spans="1:17">
      <c r="A32" s="1" t="s">
        <v>75</v>
      </c>
      <c r="B32" s="4">
        <v>45706</v>
      </c>
      <c r="C32" s="1" t="s">
        <v>1</v>
      </c>
      <c r="D32" s="1" t="s">
        <v>45</v>
      </c>
      <c r="E32" s="1" t="s">
        <v>37</v>
      </c>
      <c r="F32" s="1" t="s">
        <v>38</v>
      </c>
      <c r="G32" s="1" t="s">
        <v>34</v>
      </c>
      <c r="H32" s="1">
        <v>1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f t="shared" si="0"/>
        <v>0</v>
      </c>
      <c r="O32" s="1">
        <v>0</v>
      </c>
      <c r="P32" s="1"/>
      <c r="Q32" s="1">
        <v>80.3</v>
      </c>
    </row>
    <row r="33" spans="1:17">
      <c r="A33" s="1" t="s">
        <v>76</v>
      </c>
      <c r="B33" s="4">
        <v>45701</v>
      </c>
      <c r="C33" s="1" t="s">
        <v>1</v>
      </c>
      <c r="D33" s="1" t="s">
        <v>41</v>
      </c>
      <c r="E33" s="1" t="s">
        <v>37</v>
      </c>
      <c r="F33" s="1" t="s">
        <v>38</v>
      </c>
      <c r="G33" s="1" t="s">
        <v>39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f t="shared" si="0"/>
        <v>0</v>
      </c>
      <c r="O33" s="1">
        <v>0</v>
      </c>
      <c r="P33" s="1"/>
      <c r="Q33" s="1">
        <v>67.599999999999994</v>
      </c>
    </row>
    <row r="34" spans="1:17">
      <c r="A34" s="1" t="s">
        <v>77</v>
      </c>
      <c r="B34" s="4">
        <v>45724</v>
      </c>
      <c r="C34" s="1" t="s">
        <v>1</v>
      </c>
      <c r="D34" s="1" t="s">
        <v>41</v>
      </c>
      <c r="E34" s="1" t="s">
        <v>32</v>
      </c>
      <c r="F34" s="1" t="s">
        <v>52</v>
      </c>
      <c r="G34" s="1" t="s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f t="shared" si="0"/>
        <v>0</v>
      </c>
      <c r="O34" s="1">
        <v>0</v>
      </c>
      <c r="P34" s="1"/>
      <c r="Q34" s="1">
        <v>64</v>
      </c>
    </row>
    <row r="35" spans="1:17">
      <c r="A35" s="1" t="s">
        <v>78</v>
      </c>
      <c r="B35" s="4">
        <v>45668</v>
      </c>
      <c r="C35" s="1" t="s">
        <v>1</v>
      </c>
      <c r="D35" s="1" t="s">
        <v>31</v>
      </c>
      <c r="E35" s="1" t="s">
        <v>37</v>
      </c>
      <c r="F35" s="1" t="s">
        <v>42</v>
      </c>
      <c r="G35" s="1" t="s">
        <v>39</v>
      </c>
      <c r="H35" s="1">
        <v>1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f t="shared" si="0"/>
        <v>0</v>
      </c>
      <c r="O35" s="1">
        <v>0</v>
      </c>
      <c r="P35" s="1"/>
      <c r="Q35" s="1">
        <v>27.2</v>
      </c>
    </row>
    <row r="36" spans="1:17">
      <c r="A36" s="1" t="s">
        <v>79</v>
      </c>
      <c r="B36" s="4">
        <v>45700</v>
      </c>
      <c r="C36" s="1" t="s">
        <v>1</v>
      </c>
      <c r="D36" s="1" t="s">
        <v>31</v>
      </c>
      <c r="E36" s="1" t="s">
        <v>32</v>
      </c>
      <c r="F36" s="1" t="s">
        <v>38</v>
      </c>
      <c r="G36" s="1" t="s">
        <v>39</v>
      </c>
      <c r="H36" s="1">
        <v>1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f t="shared" si="0"/>
        <v>0</v>
      </c>
      <c r="O36" s="1">
        <v>0</v>
      </c>
      <c r="P36" s="1"/>
      <c r="Q36" s="1">
        <v>85.4</v>
      </c>
    </row>
    <row r="37" spans="1:17">
      <c r="A37" s="1" t="s">
        <v>80</v>
      </c>
      <c r="B37" s="4">
        <v>45760</v>
      </c>
      <c r="C37" s="1" t="s">
        <v>1</v>
      </c>
      <c r="D37" s="1" t="s">
        <v>41</v>
      </c>
      <c r="E37" s="1" t="s">
        <v>32</v>
      </c>
      <c r="F37" s="1" t="s">
        <v>38</v>
      </c>
      <c r="G37" s="1" t="s">
        <v>34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f t="shared" si="0"/>
        <v>0</v>
      </c>
      <c r="O37" s="1">
        <v>0</v>
      </c>
      <c r="P37" s="1"/>
      <c r="Q37" s="1">
        <v>75.900000000000006</v>
      </c>
    </row>
    <row r="38" spans="1:17">
      <c r="A38" s="1" t="s">
        <v>81</v>
      </c>
      <c r="B38" s="4">
        <v>45786</v>
      </c>
      <c r="C38" s="1" t="s">
        <v>1</v>
      </c>
      <c r="D38" s="1" t="s">
        <v>41</v>
      </c>
      <c r="E38" s="1" t="s">
        <v>37</v>
      </c>
      <c r="F38" s="1" t="s">
        <v>38</v>
      </c>
      <c r="G38" s="1" t="s">
        <v>43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f t="shared" si="0"/>
        <v>1</v>
      </c>
      <c r="O38" s="1">
        <v>0</v>
      </c>
      <c r="P38" s="1"/>
      <c r="Q38" s="1">
        <v>34.799999999999997</v>
      </c>
    </row>
    <row r="39" spans="1:17">
      <c r="A39" s="1" t="s">
        <v>82</v>
      </c>
      <c r="B39" s="4">
        <v>45677</v>
      </c>
      <c r="C39" s="1" t="s">
        <v>1</v>
      </c>
      <c r="D39" s="1" t="s">
        <v>41</v>
      </c>
      <c r="E39" s="1" t="s">
        <v>37</v>
      </c>
      <c r="F39" s="1" t="s">
        <v>38</v>
      </c>
      <c r="G39" s="1" t="s">
        <v>39</v>
      </c>
      <c r="H39" s="1">
        <v>1</v>
      </c>
      <c r="I39" s="1">
        <v>1</v>
      </c>
      <c r="J39" s="1">
        <v>1</v>
      </c>
      <c r="K39" s="1">
        <v>0</v>
      </c>
      <c r="L39" s="1">
        <v>0</v>
      </c>
      <c r="M39" s="1">
        <v>3</v>
      </c>
      <c r="N39" s="1">
        <f t="shared" si="0"/>
        <v>1</v>
      </c>
      <c r="O39" s="1">
        <v>0</v>
      </c>
      <c r="P39" s="1"/>
      <c r="Q39" s="1">
        <v>48.9</v>
      </c>
    </row>
    <row r="40" spans="1:17">
      <c r="A40" s="1" t="s">
        <v>83</v>
      </c>
      <c r="B40" s="4">
        <v>45790</v>
      </c>
      <c r="C40" s="1" t="s">
        <v>1</v>
      </c>
      <c r="D40" s="1" t="s">
        <v>41</v>
      </c>
      <c r="E40" s="1" t="s">
        <v>37</v>
      </c>
      <c r="F40" s="1" t="s">
        <v>33</v>
      </c>
      <c r="G40" s="1" t="s">
        <v>43</v>
      </c>
      <c r="H40" s="1">
        <v>1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f t="shared" si="0"/>
        <v>0</v>
      </c>
      <c r="O40" s="1">
        <v>0</v>
      </c>
      <c r="P40" s="1"/>
      <c r="Q40" s="1">
        <v>41.5</v>
      </c>
    </row>
    <row r="41" spans="1:17">
      <c r="A41" s="1" t="s">
        <v>84</v>
      </c>
      <c r="B41" s="4">
        <v>45754</v>
      </c>
      <c r="C41" s="1" t="s">
        <v>1</v>
      </c>
      <c r="D41" s="1" t="s">
        <v>31</v>
      </c>
      <c r="E41" s="1" t="s">
        <v>32</v>
      </c>
      <c r="F41" s="1" t="s">
        <v>38</v>
      </c>
      <c r="G41" s="1" t="s">
        <v>34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f t="shared" si="0"/>
        <v>0</v>
      </c>
      <c r="O41" s="1">
        <v>0</v>
      </c>
      <c r="P41" s="1"/>
      <c r="Q41" s="1">
        <v>51.5</v>
      </c>
    </row>
    <row r="42" spans="1:17">
      <c r="A42" s="1" t="s">
        <v>85</v>
      </c>
      <c r="B42" s="4">
        <v>45747</v>
      </c>
      <c r="C42" s="1" t="s">
        <v>1</v>
      </c>
      <c r="D42" s="1" t="s">
        <v>31</v>
      </c>
      <c r="E42" s="1" t="s">
        <v>32</v>
      </c>
      <c r="F42" s="1" t="s">
        <v>38</v>
      </c>
      <c r="G42" s="1" t="s">
        <v>39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f t="shared" si="0"/>
        <v>0</v>
      </c>
      <c r="O42" s="1">
        <v>0</v>
      </c>
      <c r="P42" s="1"/>
      <c r="Q42" s="1">
        <v>53.2</v>
      </c>
    </row>
    <row r="43" spans="1:17">
      <c r="A43" s="1" t="s">
        <v>86</v>
      </c>
      <c r="B43" s="4">
        <v>45682</v>
      </c>
      <c r="C43" s="1" t="s">
        <v>1</v>
      </c>
      <c r="D43" s="1" t="s">
        <v>41</v>
      </c>
      <c r="E43" s="1" t="s">
        <v>37</v>
      </c>
      <c r="F43" s="1" t="s">
        <v>33</v>
      </c>
      <c r="G43" s="1" t="s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f t="shared" si="0"/>
        <v>0</v>
      </c>
      <c r="O43" s="1">
        <v>0</v>
      </c>
      <c r="P43" s="1"/>
      <c r="Q43" s="1">
        <v>55.6</v>
      </c>
    </row>
    <row r="44" spans="1:17">
      <c r="A44" s="1" t="s">
        <v>87</v>
      </c>
      <c r="B44" s="4">
        <v>45702</v>
      </c>
      <c r="C44" s="1" t="s">
        <v>1</v>
      </c>
      <c r="D44" s="1" t="s">
        <v>45</v>
      </c>
      <c r="E44" s="1" t="s">
        <v>32</v>
      </c>
      <c r="F44" s="1" t="s">
        <v>38</v>
      </c>
      <c r="G44" s="1" t="s">
        <v>39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f t="shared" si="0"/>
        <v>0</v>
      </c>
      <c r="O44" s="1">
        <v>0</v>
      </c>
      <c r="P44" s="1"/>
      <c r="Q44" s="1">
        <v>73</v>
      </c>
    </row>
    <row r="45" spans="1:17">
      <c r="A45" s="1" t="s">
        <v>88</v>
      </c>
      <c r="B45" s="4">
        <v>45715</v>
      </c>
      <c r="C45" s="1" t="s">
        <v>1</v>
      </c>
      <c r="D45" s="1" t="s">
        <v>41</v>
      </c>
      <c r="E45" s="1" t="s">
        <v>37</v>
      </c>
      <c r="F45" s="1" t="s">
        <v>33</v>
      </c>
      <c r="G45" s="1" t="s">
        <v>39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f t="shared" si="0"/>
        <v>0</v>
      </c>
      <c r="O45" s="1">
        <v>0</v>
      </c>
      <c r="P45" s="1"/>
      <c r="Q45" s="1">
        <v>65</v>
      </c>
    </row>
    <row r="46" spans="1:17">
      <c r="A46" s="1" t="s">
        <v>89</v>
      </c>
      <c r="B46" s="4">
        <v>45744</v>
      </c>
      <c r="C46" s="1" t="s">
        <v>1</v>
      </c>
      <c r="D46" s="1" t="s">
        <v>41</v>
      </c>
      <c r="E46" s="1" t="s">
        <v>37</v>
      </c>
      <c r="F46" s="1" t="s">
        <v>54</v>
      </c>
      <c r="G46" s="1" t="s">
        <v>39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  <c r="M46" s="1">
        <v>4</v>
      </c>
      <c r="N46" s="1">
        <f t="shared" si="0"/>
        <v>1</v>
      </c>
      <c r="O46" s="1">
        <v>0</v>
      </c>
      <c r="P46" s="1"/>
      <c r="Q46" s="1">
        <v>56.3</v>
      </c>
    </row>
    <row r="47" spans="1:17">
      <c r="A47" s="1" t="s">
        <v>90</v>
      </c>
      <c r="B47" s="4">
        <v>45802</v>
      </c>
      <c r="C47" s="1" t="s">
        <v>1</v>
      </c>
      <c r="D47" s="1" t="s">
        <v>41</v>
      </c>
      <c r="E47" s="1" t="s">
        <v>37</v>
      </c>
      <c r="F47" s="1" t="s">
        <v>52</v>
      </c>
      <c r="G47" s="1" t="s">
        <v>43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f t="shared" si="0"/>
        <v>0</v>
      </c>
      <c r="O47" s="1">
        <v>0</v>
      </c>
      <c r="P47" s="1"/>
      <c r="Q47" s="1">
        <v>62.4</v>
      </c>
    </row>
    <row r="48" spans="1:17">
      <c r="A48" s="1" t="s">
        <v>91</v>
      </c>
      <c r="B48" s="4">
        <v>45782</v>
      </c>
      <c r="C48" s="1" t="s">
        <v>1</v>
      </c>
      <c r="D48" s="1" t="s">
        <v>36</v>
      </c>
      <c r="E48" s="1" t="s">
        <v>32</v>
      </c>
      <c r="F48" s="1" t="s">
        <v>38</v>
      </c>
      <c r="G48" s="1" t="s">
        <v>39</v>
      </c>
      <c r="H48" s="1">
        <v>1</v>
      </c>
      <c r="I48" s="1">
        <v>1</v>
      </c>
      <c r="J48" s="1">
        <v>1</v>
      </c>
      <c r="K48" s="1">
        <v>0</v>
      </c>
      <c r="L48" s="1">
        <v>0</v>
      </c>
      <c r="M48" s="1">
        <v>0</v>
      </c>
      <c r="N48" s="1">
        <f t="shared" si="0"/>
        <v>0</v>
      </c>
      <c r="O48" s="1">
        <v>0</v>
      </c>
      <c r="P48" s="1"/>
      <c r="Q48" s="1">
        <v>58.1</v>
      </c>
    </row>
    <row r="49" spans="1:17">
      <c r="A49" s="1" t="s">
        <v>92</v>
      </c>
      <c r="B49" s="4">
        <v>45793</v>
      </c>
      <c r="C49" s="1" t="s">
        <v>1</v>
      </c>
      <c r="D49" s="1" t="s">
        <v>31</v>
      </c>
      <c r="E49" s="1" t="s">
        <v>37</v>
      </c>
      <c r="F49" s="1" t="s">
        <v>38</v>
      </c>
      <c r="G49" s="1" t="s">
        <v>39</v>
      </c>
      <c r="H49" s="1">
        <v>1</v>
      </c>
      <c r="I49" s="1">
        <v>1</v>
      </c>
      <c r="J49" s="1">
        <v>1</v>
      </c>
      <c r="K49" s="1">
        <v>0</v>
      </c>
      <c r="L49" s="1">
        <v>0</v>
      </c>
      <c r="M49" s="1">
        <v>0</v>
      </c>
      <c r="N49" s="1">
        <f t="shared" si="0"/>
        <v>0</v>
      </c>
      <c r="O49" s="1">
        <v>0</v>
      </c>
      <c r="P49" s="1"/>
      <c r="Q49" s="1">
        <v>80.8</v>
      </c>
    </row>
    <row r="50" spans="1:17">
      <c r="A50" s="1" t="s">
        <v>93</v>
      </c>
      <c r="B50" s="4">
        <v>45665</v>
      </c>
      <c r="C50" s="1" t="s">
        <v>1</v>
      </c>
      <c r="D50" s="1" t="s">
        <v>31</v>
      </c>
      <c r="E50" s="1" t="s">
        <v>37</v>
      </c>
      <c r="F50" s="1" t="s">
        <v>54</v>
      </c>
      <c r="G50" s="1" t="s">
        <v>39</v>
      </c>
      <c r="H50" s="1">
        <v>1</v>
      </c>
      <c r="I50" s="1">
        <v>1</v>
      </c>
      <c r="J50" s="1">
        <v>0</v>
      </c>
      <c r="K50" s="1">
        <v>0</v>
      </c>
      <c r="L50" s="1">
        <v>0</v>
      </c>
      <c r="M50" s="1">
        <v>0</v>
      </c>
      <c r="N50" s="1">
        <f t="shared" si="0"/>
        <v>0</v>
      </c>
      <c r="O50" s="1">
        <v>0</v>
      </c>
      <c r="P50" s="1"/>
      <c r="Q50" s="1">
        <v>42.9</v>
      </c>
    </row>
    <row r="51" spans="1:17">
      <c r="A51" s="1" t="s">
        <v>94</v>
      </c>
      <c r="B51" s="4">
        <v>45663</v>
      </c>
      <c r="C51" s="1" t="s">
        <v>1</v>
      </c>
      <c r="D51" s="1" t="s">
        <v>36</v>
      </c>
      <c r="E51" s="1" t="s">
        <v>32</v>
      </c>
      <c r="F51" s="1" t="s">
        <v>42</v>
      </c>
      <c r="G51" s="1" t="s">
        <v>39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f t="shared" si="0"/>
        <v>0</v>
      </c>
      <c r="O51" s="1">
        <v>0</v>
      </c>
      <c r="P51" s="1"/>
      <c r="Q51" s="1">
        <v>52.7</v>
      </c>
    </row>
    <row r="52" spans="1:17">
      <c r="A52" s="1" t="s">
        <v>95</v>
      </c>
      <c r="B52" s="4">
        <v>45669</v>
      </c>
      <c r="C52" s="1" t="s">
        <v>1</v>
      </c>
      <c r="D52" s="1" t="s">
        <v>31</v>
      </c>
      <c r="E52" s="1" t="s">
        <v>37</v>
      </c>
      <c r="F52" s="1" t="s">
        <v>54</v>
      </c>
      <c r="G52" s="1" t="s">
        <v>34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f t="shared" si="0"/>
        <v>0</v>
      </c>
      <c r="O52" s="1">
        <v>0</v>
      </c>
      <c r="P52" s="1"/>
      <c r="Q52" s="1">
        <v>46.9</v>
      </c>
    </row>
    <row r="53" spans="1:17">
      <c r="A53" s="1" t="s">
        <v>96</v>
      </c>
      <c r="B53" s="4">
        <v>45702</v>
      </c>
      <c r="C53" s="1" t="s">
        <v>1</v>
      </c>
      <c r="D53" s="1" t="s">
        <v>41</v>
      </c>
      <c r="E53" s="1" t="s">
        <v>32</v>
      </c>
      <c r="F53" s="1" t="s">
        <v>33</v>
      </c>
      <c r="G53" s="1" t="s">
        <v>43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f t="shared" si="0"/>
        <v>0</v>
      </c>
      <c r="O53" s="1">
        <v>0</v>
      </c>
      <c r="P53" s="1"/>
      <c r="Q53" s="1">
        <v>63</v>
      </c>
    </row>
    <row r="54" spans="1:17">
      <c r="A54" s="1" t="s">
        <v>97</v>
      </c>
      <c r="B54" s="4">
        <v>45726</v>
      </c>
      <c r="C54" s="1" t="s">
        <v>1</v>
      </c>
      <c r="D54" s="1" t="s">
        <v>45</v>
      </c>
      <c r="E54" s="1" t="s">
        <v>47</v>
      </c>
      <c r="F54" s="1" t="s">
        <v>38</v>
      </c>
      <c r="G54" s="1" t="s">
        <v>39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f t="shared" si="0"/>
        <v>0</v>
      </c>
      <c r="O54" s="1">
        <v>0</v>
      </c>
      <c r="P54" s="1"/>
      <c r="Q54" s="1">
        <v>53.6</v>
      </c>
    </row>
    <row r="55" spans="1:17">
      <c r="A55" s="1" t="s">
        <v>98</v>
      </c>
      <c r="B55" s="4">
        <v>45767</v>
      </c>
      <c r="C55" s="1" t="s">
        <v>1</v>
      </c>
      <c r="D55" s="1" t="s">
        <v>36</v>
      </c>
      <c r="E55" s="1" t="s">
        <v>32</v>
      </c>
      <c r="F55" s="1" t="s">
        <v>38</v>
      </c>
      <c r="G55" s="1" t="s">
        <v>34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f t="shared" si="0"/>
        <v>0</v>
      </c>
      <c r="O55" s="1">
        <v>0</v>
      </c>
      <c r="P55" s="1"/>
      <c r="Q55" s="1">
        <v>49.6</v>
      </c>
    </row>
    <row r="56" spans="1:17">
      <c r="A56" s="1" t="s">
        <v>99</v>
      </c>
      <c r="B56" s="4">
        <v>45707</v>
      </c>
      <c r="C56" s="1" t="s">
        <v>1</v>
      </c>
      <c r="D56" s="1" t="s">
        <v>45</v>
      </c>
      <c r="E56" s="1" t="s">
        <v>37</v>
      </c>
      <c r="F56" s="1" t="s">
        <v>38</v>
      </c>
      <c r="G56" s="1" t="s">
        <v>39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f t="shared" si="0"/>
        <v>0</v>
      </c>
      <c r="O56" s="1">
        <v>0</v>
      </c>
      <c r="P56" s="1"/>
      <c r="Q56" s="1">
        <v>54</v>
      </c>
    </row>
    <row r="57" spans="1:17">
      <c r="A57" s="1" t="s">
        <v>100</v>
      </c>
      <c r="B57" s="4">
        <v>45794</v>
      </c>
      <c r="C57" s="1" t="s">
        <v>1</v>
      </c>
      <c r="D57" s="1" t="s">
        <v>45</v>
      </c>
      <c r="E57" s="1" t="s">
        <v>37</v>
      </c>
      <c r="F57" s="1" t="s">
        <v>54</v>
      </c>
      <c r="G57" s="1" t="s">
        <v>34</v>
      </c>
      <c r="H57" s="1">
        <v>1</v>
      </c>
      <c r="I57" s="1">
        <v>0</v>
      </c>
      <c r="J57" s="1">
        <v>0</v>
      </c>
      <c r="K57" s="1">
        <v>0</v>
      </c>
      <c r="L57" s="1">
        <v>0</v>
      </c>
      <c r="M57" s="1">
        <v>2</v>
      </c>
      <c r="N57" s="1">
        <f t="shared" si="0"/>
        <v>1</v>
      </c>
      <c r="O57" s="1">
        <v>0</v>
      </c>
      <c r="P57" s="1"/>
      <c r="Q57" s="1">
        <v>50</v>
      </c>
    </row>
    <row r="58" spans="1:17">
      <c r="A58" s="1" t="s">
        <v>101</v>
      </c>
      <c r="B58" s="4">
        <v>45748</v>
      </c>
      <c r="C58" s="1" t="s">
        <v>1</v>
      </c>
      <c r="D58" s="1" t="s">
        <v>41</v>
      </c>
      <c r="E58" s="1" t="s">
        <v>37</v>
      </c>
      <c r="F58" s="1" t="s">
        <v>54</v>
      </c>
      <c r="G58" s="1" t="s">
        <v>34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f t="shared" si="0"/>
        <v>0</v>
      </c>
      <c r="O58" s="1">
        <v>0</v>
      </c>
      <c r="P58" s="1"/>
      <c r="Q58" s="1">
        <v>48.1</v>
      </c>
    </row>
    <row r="59" spans="1:17">
      <c r="A59" s="1" t="s">
        <v>102</v>
      </c>
      <c r="B59" s="4">
        <v>45692</v>
      </c>
      <c r="C59" s="1" t="s">
        <v>1</v>
      </c>
      <c r="D59" s="1" t="s">
        <v>31</v>
      </c>
      <c r="E59" s="1" t="s">
        <v>32</v>
      </c>
      <c r="F59" s="1" t="s">
        <v>38</v>
      </c>
      <c r="G59" s="1" t="s">
        <v>39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f t="shared" si="0"/>
        <v>0</v>
      </c>
      <c r="O59" s="1">
        <v>0</v>
      </c>
      <c r="P59" s="1"/>
      <c r="Q59" s="1">
        <v>49.6</v>
      </c>
    </row>
    <row r="60" spans="1:17">
      <c r="A60" s="1" t="s">
        <v>103</v>
      </c>
      <c r="B60" s="4">
        <v>45761</v>
      </c>
      <c r="C60" s="1" t="s">
        <v>1</v>
      </c>
      <c r="D60" s="1" t="s">
        <v>31</v>
      </c>
      <c r="E60" s="1" t="s">
        <v>37</v>
      </c>
      <c r="F60" s="1" t="s">
        <v>54</v>
      </c>
      <c r="G60" s="1" t="s">
        <v>39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2</v>
      </c>
      <c r="N60" s="1">
        <f t="shared" si="0"/>
        <v>1</v>
      </c>
      <c r="O60" s="1">
        <v>0</v>
      </c>
      <c r="P60" s="1"/>
      <c r="Q60" s="1">
        <v>48.9</v>
      </c>
    </row>
    <row r="61" spans="1:17">
      <c r="A61" s="1" t="s">
        <v>104</v>
      </c>
      <c r="B61" s="4">
        <v>45658</v>
      </c>
      <c r="C61" s="1" t="s">
        <v>1</v>
      </c>
      <c r="D61" s="1" t="s">
        <v>36</v>
      </c>
      <c r="E61" s="1" t="s">
        <v>37</v>
      </c>
      <c r="F61" s="1" t="s">
        <v>54</v>
      </c>
      <c r="G61" s="1" t="s">
        <v>39</v>
      </c>
      <c r="H61" s="1">
        <v>1</v>
      </c>
      <c r="I61" s="1">
        <v>1</v>
      </c>
      <c r="J61" s="1">
        <v>1</v>
      </c>
      <c r="K61" s="1">
        <v>1</v>
      </c>
      <c r="L61" s="1">
        <v>240.42</v>
      </c>
      <c r="M61" s="1">
        <v>0</v>
      </c>
      <c r="N61" s="1">
        <f t="shared" si="0"/>
        <v>0</v>
      </c>
      <c r="O61" s="1">
        <v>0</v>
      </c>
      <c r="P61" s="1">
        <v>16</v>
      </c>
      <c r="Q61" s="1">
        <v>56.5</v>
      </c>
    </row>
    <row r="62" spans="1:17">
      <c r="A62" s="1" t="s">
        <v>105</v>
      </c>
      <c r="B62" s="4">
        <v>45749</v>
      </c>
      <c r="C62" s="1" t="s">
        <v>1</v>
      </c>
      <c r="D62" s="1" t="s">
        <v>45</v>
      </c>
      <c r="E62" s="1" t="s">
        <v>37</v>
      </c>
      <c r="F62" s="1" t="s">
        <v>52</v>
      </c>
      <c r="G62" s="1" t="s">
        <v>39</v>
      </c>
      <c r="H62" s="1">
        <v>1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f t="shared" si="0"/>
        <v>0</v>
      </c>
      <c r="O62" s="1">
        <v>0</v>
      </c>
      <c r="P62" s="1"/>
      <c r="Q62" s="1">
        <v>53.7</v>
      </c>
    </row>
    <row r="63" spans="1:17">
      <c r="A63" s="1" t="s">
        <v>106</v>
      </c>
      <c r="B63" s="4">
        <v>45745</v>
      </c>
      <c r="C63" s="1" t="s">
        <v>1</v>
      </c>
      <c r="D63" s="1" t="s">
        <v>31</v>
      </c>
      <c r="E63" s="1" t="s">
        <v>37</v>
      </c>
      <c r="F63" s="1" t="s">
        <v>54</v>
      </c>
      <c r="G63" s="1" t="s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f t="shared" si="0"/>
        <v>0</v>
      </c>
      <c r="O63" s="1">
        <v>0</v>
      </c>
      <c r="P63" s="1"/>
      <c r="Q63" s="1">
        <v>62.2</v>
      </c>
    </row>
    <row r="64" spans="1:17">
      <c r="A64" s="1" t="s">
        <v>107</v>
      </c>
      <c r="B64" s="4">
        <v>45792</v>
      </c>
      <c r="C64" s="1" t="s">
        <v>1</v>
      </c>
      <c r="D64" s="1" t="s">
        <v>45</v>
      </c>
      <c r="E64" s="1" t="s">
        <v>32</v>
      </c>
      <c r="F64" s="1" t="s">
        <v>38</v>
      </c>
      <c r="G64" s="1" t="s">
        <v>39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f t="shared" si="0"/>
        <v>0</v>
      </c>
      <c r="O64" s="1">
        <v>0</v>
      </c>
      <c r="P64" s="1"/>
      <c r="Q64" s="1">
        <v>50.2</v>
      </c>
    </row>
    <row r="65" spans="1:17">
      <c r="A65" s="1" t="s">
        <v>108</v>
      </c>
      <c r="B65" s="4">
        <v>45758</v>
      </c>
      <c r="C65" s="1" t="s">
        <v>1</v>
      </c>
      <c r="D65" s="1" t="s">
        <v>31</v>
      </c>
      <c r="E65" s="1" t="s">
        <v>37</v>
      </c>
      <c r="F65" s="1" t="s">
        <v>38</v>
      </c>
      <c r="G65" s="1" t="s">
        <v>34</v>
      </c>
      <c r="H65" s="1">
        <v>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f t="shared" si="0"/>
        <v>0</v>
      </c>
      <c r="O65" s="1">
        <v>0</v>
      </c>
      <c r="P65" s="1"/>
      <c r="Q65" s="1">
        <v>74.3</v>
      </c>
    </row>
    <row r="66" spans="1:17">
      <c r="A66" s="1" t="s">
        <v>109</v>
      </c>
      <c r="B66" s="4">
        <v>45723</v>
      </c>
      <c r="C66" s="1" t="s">
        <v>1</v>
      </c>
      <c r="D66" s="1" t="s">
        <v>45</v>
      </c>
      <c r="E66" s="1" t="s">
        <v>32</v>
      </c>
      <c r="F66" s="1" t="s">
        <v>42</v>
      </c>
      <c r="G66" s="1" t="s">
        <v>39</v>
      </c>
      <c r="H66" s="1">
        <v>1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f t="shared" si="0"/>
        <v>0</v>
      </c>
      <c r="O66" s="1">
        <v>0</v>
      </c>
      <c r="P66" s="1"/>
      <c r="Q66" s="1">
        <v>58</v>
      </c>
    </row>
    <row r="67" spans="1:17">
      <c r="A67" s="1" t="s">
        <v>110</v>
      </c>
      <c r="B67" s="4">
        <v>45807</v>
      </c>
      <c r="C67" s="1" t="s">
        <v>1</v>
      </c>
      <c r="D67" s="1" t="s">
        <v>45</v>
      </c>
      <c r="E67" s="1" t="s">
        <v>37</v>
      </c>
      <c r="F67" s="1" t="s">
        <v>38</v>
      </c>
      <c r="G67" s="1" t="s">
        <v>39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f t="shared" ref="N67:N130" si="1">IF(M67&gt;0,1,0)</f>
        <v>0</v>
      </c>
      <c r="O67" s="1">
        <v>0</v>
      </c>
      <c r="P67" s="1"/>
      <c r="Q67" s="1">
        <v>46.7</v>
      </c>
    </row>
    <row r="68" spans="1:17">
      <c r="A68" s="1" t="s">
        <v>111</v>
      </c>
      <c r="B68" s="4">
        <v>45664</v>
      </c>
      <c r="C68" s="1" t="s">
        <v>1</v>
      </c>
      <c r="D68" s="1" t="s">
        <v>45</v>
      </c>
      <c r="E68" s="1" t="s">
        <v>32</v>
      </c>
      <c r="F68" s="1" t="s">
        <v>38</v>
      </c>
      <c r="G68" s="1" t="s">
        <v>43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  <c r="N68" s="1">
        <f t="shared" si="1"/>
        <v>1</v>
      </c>
      <c r="O68" s="1">
        <v>0</v>
      </c>
      <c r="P68" s="1"/>
      <c r="Q68" s="1">
        <v>49.6</v>
      </c>
    </row>
    <row r="69" spans="1:17">
      <c r="A69" s="1" t="s">
        <v>112</v>
      </c>
      <c r="B69" s="4">
        <v>45785</v>
      </c>
      <c r="C69" s="1" t="s">
        <v>1</v>
      </c>
      <c r="D69" s="1" t="s">
        <v>36</v>
      </c>
      <c r="E69" s="1" t="s">
        <v>37</v>
      </c>
      <c r="F69" s="1" t="s">
        <v>54</v>
      </c>
      <c r="G69" s="1" t="s">
        <v>39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f t="shared" si="1"/>
        <v>0</v>
      </c>
      <c r="O69" s="1">
        <v>0</v>
      </c>
      <c r="P69" s="1"/>
      <c r="Q69" s="1">
        <v>60.4</v>
      </c>
    </row>
    <row r="70" spans="1:17">
      <c r="A70" s="1" t="s">
        <v>113</v>
      </c>
      <c r="B70" s="4">
        <v>45735</v>
      </c>
      <c r="C70" s="1" t="s">
        <v>1</v>
      </c>
      <c r="D70" s="1" t="s">
        <v>41</v>
      </c>
      <c r="E70" s="1" t="s">
        <v>32</v>
      </c>
      <c r="F70" s="1" t="s">
        <v>33</v>
      </c>
      <c r="G70" s="1" t="s">
        <v>39</v>
      </c>
      <c r="H70" s="1">
        <v>1</v>
      </c>
      <c r="I70" s="1">
        <v>1</v>
      </c>
      <c r="J70" s="1">
        <v>1</v>
      </c>
      <c r="K70" s="1">
        <v>0</v>
      </c>
      <c r="L70" s="1">
        <v>0</v>
      </c>
      <c r="M70" s="1">
        <v>0</v>
      </c>
      <c r="N70" s="1">
        <f t="shared" si="1"/>
        <v>0</v>
      </c>
      <c r="O70" s="1">
        <v>0</v>
      </c>
      <c r="P70" s="1"/>
      <c r="Q70" s="1">
        <v>55.3</v>
      </c>
    </row>
    <row r="71" spans="1:17">
      <c r="A71" s="1" t="s">
        <v>114</v>
      </c>
      <c r="B71" s="4">
        <v>45793</v>
      </c>
      <c r="C71" s="1" t="s">
        <v>1</v>
      </c>
      <c r="D71" s="1" t="s">
        <v>31</v>
      </c>
      <c r="E71" s="1" t="s">
        <v>32</v>
      </c>
      <c r="F71" s="1" t="s">
        <v>38</v>
      </c>
      <c r="G71" s="1" t="s">
        <v>39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f t="shared" si="1"/>
        <v>0</v>
      </c>
      <c r="O71" s="1">
        <v>0</v>
      </c>
      <c r="P71" s="1"/>
      <c r="Q71" s="1">
        <v>56.2</v>
      </c>
    </row>
    <row r="72" spans="1:17">
      <c r="A72" s="1" t="s">
        <v>115</v>
      </c>
      <c r="B72" s="4">
        <v>45724</v>
      </c>
      <c r="C72" s="1" t="s">
        <v>1</v>
      </c>
      <c r="D72" s="1" t="s">
        <v>36</v>
      </c>
      <c r="E72" s="1" t="s">
        <v>37</v>
      </c>
      <c r="F72" s="1" t="s">
        <v>33</v>
      </c>
      <c r="G72" s="1" t="s">
        <v>39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f t="shared" si="1"/>
        <v>0</v>
      </c>
      <c r="O72" s="1">
        <v>0</v>
      </c>
      <c r="P72" s="1"/>
      <c r="Q72" s="1">
        <v>29.4</v>
      </c>
    </row>
    <row r="73" spans="1:17">
      <c r="A73" s="1" t="s">
        <v>116</v>
      </c>
      <c r="B73" s="4">
        <v>45724</v>
      </c>
      <c r="C73" s="1" t="s">
        <v>1</v>
      </c>
      <c r="D73" s="1" t="s">
        <v>41</v>
      </c>
      <c r="E73" s="1" t="s">
        <v>37</v>
      </c>
      <c r="F73" s="1" t="s">
        <v>33</v>
      </c>
      <c r="G73" s="1" t="s">
        <v>39</v>
      </c>
      <c r="H73" s="1">
        <v>1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f t="shared" si="1"/>
        <v>0</v>
      </c>
      <c r="O73" s="1">
        <v>0</v>
      </c>
      <c r="P73" s="1"/>
      <c r="Q73" s="1">
        <v>54.2</v>
      </c>
    </row>
    <row r="74" spans="1:17">
      <c r="A74" s="1" t="s">
        <v>117</v>
      </c>
      <c r="B74" s="4">
        <v>45671</v>
      </c>
      <c r="C74" s="1" t="s">
        <v>1</v>
      </c>
      <c r="D74" s="1" t="s">
        <v>41</v>
      </c>
      <c r="E74" s="1" t="s">
        <v>32</v>
      </c>
      <c r="F74" s="1" t="s">
        <v>42</v>
      </c>
      <c r="G74" s="1" t="s">
        <v>34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f t="shared" si="1"/>
        <v>0</v>
      </c>
      <c r="O74" s="1">
        <v>0</v>
      </c>
      <c r="P74" s="1"/>
      <c r="Q74" s="1">
        <v>46.4</v>
      </c>
    </row>
    <row r="75" spans="1:17">
      <c r="A75" s="1" t="s">
        <v>118</v>
      </c>
      <c r="B75" s="4">
        <v>45698</v>
      </c>
      <c r="C75" s="1" t="s">
        <v>1</v>
      </c>
      <c r="D75" s="1" t="s">
        <v>45</v>
      </c>
      <c r="E75" s="1" t="s">
        <v>37</v>
      </c>
      <c r="F75" s="1" t="s">
        <v>42</v>
      </c>
      <c r="G75" s="1" t="s">
        <v>34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f t="shared" si="1"/>
        <v>0</v>
      </c>
      <c r="O75" s="1">
        <v>0</v>
      </c>
      <c r="P75" s="1"/>
      <c r="Q75" s="1">
        <v>54.5</v>
      </c>
    </row>
    <row r="76" spans="1:17">
      <c r="A76" s="1" t="s">
        <v>119</v>
      </c>
      <c r="B76" s="4">
        <v>45733</v>
      </c>
      <c r="C76" s="1" t="s">
        <v>1</v>
      </c>
      <c r="D76" s="1" t="s">
        <v>31</v>
      </c>
      <c r="E76" s="1" t="s">
        <v>37</v>
      </c>
      <c r="F76" s="1" t="s">
        <v>38</v>
      </c>
      <c r="G76" s="1" t="s">
        <v>39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f t="shared" si="1"/>
        <v>0</v>
      </c>
      <c r="O76" s="1">
        <v>0</v>
      </c>
      <c r="P76" s="1"/>
      <c r="Q76" s="1">
        <v>58.5</v>
      </c>
    </row>
    <row r="77" spans="1:17">
      <c r="A77" s="1" t="s">
        <v>120</v>
      </c>
      <c r="B77" s="4">
        <v>45666</v>
      </c>
      <c r="C77" s="1" t="s">
        <v>1</v>
      </c>
      <c r="D77" s="1" t="s">
        <v>45</v>
      </c>
      <c r="E77" s="1" t="s">
        <v>37</v>
      </c>
      <c r="F77" s="1" t="s">
        <v>33</v>
      </c>
      <c r="G77" s="1" t="s">
        <v>39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f t="shared" si="1"/>
        <v>0</v>
      </c>
      <c r="O77" s="1">
        <v>0</v>
      </c>
      <c r="P77" s="1"/>
      <c r="Q77" s="1">
        <v>75.900000000000006</v>
      </c>
    </row>
    <row r="78" spans="1:17">
      <c r="A78" s="1" t="s">
        <v>121</v>
      </c>
      <c r="B78" s="4">
        <v>45764</v>
      </c>
      <c r="C78" s="1" t="s">
        <v>1</v>
      </c>
      <c r="D78" s="1" t="s">
        <v>31</v>
      </c>
      <c r="E78" s="1" t="s">
        <v>37</v>
      </c>
      <c r="F78" s="1" t="s">
        <v>52</v>
      </c>
      <c r="G78" s="1" t="s">
        <v>39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1</v>
      </c>
      <c r="N78" s="1">
        <f t="shared" si="1"/>
        <v>1</v>
      </c>
      <c r="O78" s="1">
        <v>0</v>
      </c>
      <c r="P78" s="1"/>
      <c r="Q78" s="1">
        <v>84.9</v>
      </c>
    </row>
    <row r="79" spans="1:17">
      <c r="A79" s="1" t="s">
        <v>122</v>
      </c>
      <c r="B79" s="4">
        <v>45673</v>
      </c>
      <c r="C79" s="1" t="s">
        <v>1</v>
      </c>
      <c r="D79" s="1" t="s">
        <v>31</v>
      </c>
      <c r="E79" s="1" t="s">
        <v>37</v>
      </c>
      <c r="F79" s="1" t="s">
        <v>38</v>
      </c>
      <c r="G79" s="1" t="s">
        <v>39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2</v>
      </c>
      <c r="N79" s="1">
        <f t="shared" si="1"/>
        <v>1</v>
      </c>
      <c r="O79" s="1">
        <v>0</v>
      </c>
      <c r="P79" s="1"/>
      <c r="Q79" s="1">
        <v>48.4</v>
      </c>
    </row>
    <row r="80" spans="1:17">
      <c r="A80" s="1" t="s">
        <v>123</v>
      </c>
      <c r="B80" s="4">
        <v>45708</v>
      </c>
      <c r="C80" s="1" t="s">
        <v>1</v>
      </c>
      <c r="D80" s="1" t="s">
        <v>36</v>
      </c>
      <c r="E80" s="1" t="s">
        <v>32</v>
      </c>
      <c r="F80" s="1" t="s">
        <v>38</v>
      </c>
      <c r="G80" s="1" t="s">
        <v>39</v>
      </c>
      <c r="H80" s="1">
        <v>1</v>
      </c>
      <c r="I80" s="1">
        <v>1</v>
      </c>
      <c r="J80" s="1">
        <v>1</v>
      </c>
      <c r="K80" s="1">
        <v>1</v>
      </c>
      <c r="L80" s="1">
        <v>457.51</v>
      </c>
      <c r="M80" s="1">
        <v>0</v>
      </c>
      <c r="N80" s="1">
        <f t="shared" si="1"/>
        <v>0</v>
      </c>
      <c r="O80" s="1">
        <v>0</v>
      </c>
      <c r="P80" s="1">
        <v>7</v>
      </c>
      <c r="Q80" s="1">
        <v>38</v>
      </c>
    </row>
    <row r="81" spans="1:17">
      <c r="A81" s="1" t="s">
        <v>124</v>
      </c>
      <c r="B81" s="4">
        <v>45798</v>
      </c>
      <c r="C81" s="1" t="s">
        <v>1</v>
      </c>
      <c r="D81" s="1" t="s">
        <v>41</v>
      </c>
      <c r="E81" s="1" t="s">
        <v>37</v>
      </c>
      <c r="F81" s="1" t="s">
        <v>54</v>
      </c>
      <c r="G81" s="1" t="s">
        <v>39</v>
      </c>
      <c r="H81" s="1">
        <v>1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f t="shared" si="1"/>
        <v>0</v>
      </c>
      <c r="O81" s="1">
        <v>0</v>
      </c>
      <c r="P81" s="1"/>
      <c r="Q81" s="1">
        <v>44.2</v>
      </c>
    </row>
    <row r="82" spans="1:17">
      <c r="A82" s="1" t="s">
        <v>125</v>
      </c>
      <c r="B82" s="4">
        <v>45785</v>
      </c>
      <c r="C82" s="1" t="s">
        <v>1</v>
      </c>
      <c r="D82" s="1" t="s">
        <v>45</v>
      </c>
      <c r="E82" s="1" t="s">
        <v>37</v>
      </c>
      <c r="F82" s="1" t="s">
        <v>38</v>
      </c>
      <c r="G82" s="1" t="s">
        <v>39</v>
      </c>
      <c r="H82" s="1">
        <v>1</v>
      </c>
      <c r="I82" s="1">
        <v>1</v>
      </c>
      <c r="J82" s="1">
        <v>1</v>
      </c>
      <c r="K82" s="1">
        <v>0</v>
      </c>
      <c r="L82" s="1">
        <v>0</v>
      </c>
      <c r="M82" s="1">
        <v>0</v>
      </c>
      <c r="N82" s="1">
        <f t="shared" si="1"/>
        <v>0</v>
      </c>
      <c r="O82" s="1">
        <v>0</v>
      </c>
      <c r="P82" s="1"/>
      <c r="Q82" s="1">
        <v>81.2</v>
      </c>
    </row>
    <row r="83" spans="1:17">
      <c r="A83" s="1" t="s">
        <v>126</v>
      </c>
      <c r="B83" s="4">
        <v>45724</v>
      </c>
      <c r="C83" s="1" t="s">
        <v>1</v>
      </c>
      <c r="D83" s="1" t="s">
        <v>45</v>
      </c>
      <c r="E83" s="1" t="s">
        <v>37</v>
      </c>
      <c r="F83" s="1" t="s">
        <v>52</v>
      </c>
      <c r="G83" s="1" t="s">
        <v>39</v>
      </c>
      <c r="H83" s="1">
        <v>1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f t="shared" si="1"/>
        <v>0</v>
      </c>
      <c r="O83" s="1">
        <v>0</v>
      </c>
      <c r="P83" s="1"/>
      <c r="Q83" s="1">
        <v>63.8</v>
      </c>
    </row>
    <row r="84" spans="1:17">
      <c r="A84" s="1" t="s">
        <v>127</v>
      </c>
      <c r="B84" s="4">
        <v>45748</v>
      </c>
      <c r="C84" s="1" t="s">
        <v>1</v>
      </c>
      <c r="D84" s="1" t="s">
        <v>45</v>
      </c>
      <c r="E84" s="1" t="s">
        <v>32</v>
      </c>
      <c r="F84" s="1" t="s">
        <v>33</v>
      </c>
      <c r="G84" s="1" t="s">
        <v>39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f t="shared" si="1"/>
        <v>0</v>
      </c>
      <c r="O84" s="1">
        <v>0</v>
      </c>
      <c r="P84" s="1"/>
      <c r="Q84" s="1">
        <v>64.7</v>
      </c>
    </row>
    <row r="85" spans="1:17">
      <c r="A85" s="1" t="s">
        <v>128</v>
      </c>
      <c r="B85" s="4">
        <v>45719</v>
      </c>
      <c r="C85" s="1" t="s">
        <v>1</v>
      </c>
      <c r="D85" s="1" t="s">
        <v>36</v>
      </c>
      <c r="E85" s="1" t="s">
        <v>37</v>
      </c>
      <c r="F85" s="1" t="s">
        <v>54</v>
      </c>
      <c r="G85" s="1" t="s">
        <v>34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f t="shared" si="1"/>
        <v>0</v>
      </c>
      <c r="O85" s="1">
        <v>0</v>
      </c>
      <c r="P85" s="1"/>
      <c r="Q85" s="1">
        <v>60.4</v>
      </c>
    </row>
    <row r="86" spans="1:17">
      <c r="A86" s="1" t="s">
        <v>129</v>
      </c>
      <c r="B86" s="4">
        <v>45763</v>
      </c>
      <c r="C86" s="1" t="s">
        <v>1</v>
      </c>
      <c r="D86" s="1" t="s">
        <v>45</v>
      </c>
      <c r="E86" s="1" t="s">
        <v>37</v>
      </c>
      <c r="F86" s="1" t="s">
        <v>42</v>
      </c>
      <c r="G86" s="1" t="s">
        <v>39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f t="shared" si="1"/>
        <v>0</v>
      </c>
      <c r="O86" s="1">
        <v>0</v>
      </c>
      <c r="P86" s="1"/>
      <c r="Q86" s="1">
        <v>66.599999999999994</v>
      </c>
    </row>
    <row r="87" spans="1:17">
      <c r="A87" s="1" t="s">
        <v>130</v>
      </c>
      <c r="B87" s="4">
        <v>45666</v>
      </c>
      <c r="C87" s="1" t="s">
        <v>1</v>
      </c>
      <c r="D87" s="1" t="s">
        <v>31</v>
      </c>
      <c r="E87" s="1" t="s">
        <v>32</v>
      </c>
      <c r="F87" s="1" t="s">
        <v>38</v>
      </c>
      <c r="G87" s="1" t="s">
        <v>39</v>
      </c>
      <c r="H87" s="1">
        <v>1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f t="shared" si="1"/>
        <v>0</v>
      </c>
      <c r="O87" s="1">
        <v>0</v>
      </c>
      <c r="P87" s="1"/>
      <c r="Q87" s="1">
        <v>50.9</v>
      </c>
    </row>
    <row r="88" spans="1:17">
      <c r="A88" s="1" t="s">
        <v>131</v>
      </c>
      <c r="B88" s="4">
        <v>45679</v>
      </c>
      <c r="C88" s="1" t="s">
        <v>1</v>
      </c>
      <c r="D88" s="1" t="s">
        <v>36</v>
      </c>
      <c r="E88" s="1" t="s">
        <v>32</v>
      </c>
      <c r="F88" s="1" t="s">
        <v>54</v>
      </c>
      <c r="G88" s="1" t="s">
        <v>34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f t="shared" si="1"/>
        <v>0</v>
      </c>
      <c r="O88" s="1">
        <v>0</v>
      </c>
      <c r="P88" s="1"/>
      <c r="Q88" s="1">
        <v>51</v>
      </c>
    </row>
    <row r="89" spans="1:17">
      <c r="A89" s="1" t="s">
        <v>132</v>
      </c>
      <c r="B89" s="4">
        <v>45777</v>
      </c>
      <c r="C89" s="1" t="s">
        <v>1</v>
      </c>
      <c r="D89" s="1" t="s">
        <v>45</v>
      </c>
      <c r="E89" s="1" t="s">
        <v>37</v>
      </c>
      <c r="F89" s="1" t="s">
        <v>33</v>
      </c>
      <c r="G89" s="1" t="s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f t="shared" si="1"/>
        <v>0</v>
      </c>
      <c r="O89" s="1">
        <v>0</v>
      </c>
      <c r="P89" s="1"/>
      <c r="Q89" s="1">
        <v>65.8</v>
      </c>
    </row>
    <row r="90" spans="1:17">
      <c r="A90" s="1" t="s">
        <v>133</v>
      </c>
      <c r="B90" s="4">
        <v>45772</v>
      </c>
      <c r="C90" s="1" t="s">
        <v>1</v>
      </c>
      <c r="D90" s="1" t="s">
        <v>31</v>
      </c>
      <c r="E90" s="1" t="s">
        <v>37</v>
      </c>
      <c r="F90" s="1" t="s">
        <v>52</v>
      </c>
      <c r="G90" s="1" t="s">
        <v>34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f t="shared" si="1"/>
        <v>0</v>
      </c>
      <c r="O90" s="1">
        <v>0</v>
      </c>
      <c r="P90" s="1"/>
      <c r="Q90" s="1">
        <v>61.8</v>
      </c>
    </row>
    <row r="91" spans="1:17">
      <c r="A91" s="1" t="s">
        <v>134</v>
      </c>
      <c r="B91" s="4">
        <v>45689</v>
      </c>
      <c r="C91" s="1" t="s">
        <v>1</v>
      </c>
      <c r="D91" s="1" t="s">
        <v>31</v>
      </c>
      <c r="E91" s="1" t="s">
        <v>37</v>
      </c>
      <c r="F91" s="1" t="s">
        <v>38</v>
      </c>
      <c r="G91" s="1" t="s">
        <v>34</v>
      </c>
      <c r="H91" s="1">
        <v>1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f t="shared" si="1"/>
        <v>0</v>
      </c>
      <c r="O91" s="1">
        <v>0</v>
      </c>
      <c r="P91" s="1"/>
      <c r="Q91" s="1">
        <v>54.5</v>
      </c>
    </row>
    <row r="92" spans="1:17">
      <c r="A92" s="1" t="s">
        <v>135</v>
      </c>
      <c r="B92" s="4">
        <v>45770</v>
      </c>
      <c r="C92" s="1" t="s">
        <v>1</v>
      </c>
      <c r="D92" s="1" t="s">
        <v>45</v>
      </c>
      <c r="E92" s="1" t="s">
        <v>32</v>
      </c>
      <c r="F92" s="1" t="s">
        <v>38</v>
      </c>
      <c r="G92" s="1" t="s">
        <v>39</v>
      </c>
      <c r="H92" s="1">
        <v>1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f t="shared" si="1"/>
        <v>0</v>
      </c>
      <c r="O92" s="1">
        <v>0</v>
      </c>
      <c r="P92" s="1"/>
      <c r="Q92" s="1">
        <v>72.2</v>
      </c>
    </row>
    <row r="93" spans="1:17">
      <c r="A93" s="1" t="s">
        <v>136</v>
      </c>
      <c r="B93" s="4">
        <v>45715</v>
      </c>
      <c r="C93" s="1" t="s">
        <v>1</v>
      </c>
      <c r="D93" s="1" t="s">
        <v>45</v>
      </c>
      <c r="E93" s="1" t="s">
        <v>37</v>
      </c>
      <c r="F93" s="1" t="s">
        <v>54</v>
      </c>
      <c r="G93" s="1" t="s">
        <v>39</v>
      </c>
      <c r="H93" s="1">
        <v>1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f t="shared" si="1"/>
        <v>0</v>
      </c>
      <c r="O93" s="1">
        <v>0</v>
      </c>
      <c r="P93" s="1"/>
      <c r="Q93" s="1">
        <v>42.3</v>
      </c>
    </row>
    <row r="94" spans="1:17">
      <c r="A94" s="1" t="s">
        <v>137</v>
      </c>
      <c r="B94" s="4">
        <v>45756</v>
      </c>
      <c r="C94" s="1" t="s">
        <v>1</v>
      </c>
      <c r="D94" s="1" t="s">
        <v>41</v>
      </c>
      <c r="E94" s="1" t="s">
        <v>32</v>
      </c>
      <c r="F94" s="1" t="s">
        <v>38</v>
      </c>
      <c r="G94" s="1" t="s">
        <v>34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f t="shared" si="1"/>
        <v>0</v>
      </c>
      <c r="O94" s="1">
        <v>0</v>
      </c>
      <c r="P94" s="1"/>
      <c r="Q94" s="1">
        <v>76.2</v>
      </c>
    </row>
    <row r="95" spans="1:17">
      <c r="A95" s="1" t="s">
        <v>138</v>
      </c>
      <c r="B95" s="4">
        <v>45790</v>
      </c>
      <c r="C95" s="1" t="s">
        <v>1</v>
      </c>
      <c r="D95" s="1" t="s">
        <v>45</v>
      </c>
      <c r="E95" s="1" t="s">
        <v>47</v>
      </c>
      <c r="F95" s="1" t="s">
        <v>38</v>
      </c>
      <c r="G95" s="1" t="s">
        <v>43</v>
      </c>
      <c r="H95" s="1">
        <v>1</v>
      </c>
      <c r="I95" s="1">
        <v>1</v>
      </c>
      <c r="J95" s="1">
        <v>1</v>
      </c>
      <c r="K95" s="1">
        <v>0</v>
      </c>
      <c r="L95" s="1">
        <v>0</v>
      </c>
      <c r="M95" s="1">
        <v>1</v>
      </c>
      <c r="N95" s="1">
        <f t="shared" si="1"/>
        <v>1</v>
      </c>
      <c r="O95" s="1">
        <v>0</v>
      </c>
      <c r="P95" s="1"/>
      <c r="Q95" s="1">
        <v>37.4</v>
      </c>
    </row>
    <row r="96" spans="1:17">
      <c r="A96" s="1" t="s">
        <v>139</v>
      </c>
      <c r="B96" s="4">
        <v>45760</v>
      </c>
      <c r="C96" s="1" t="s">
        <v>1</v>
      </c>
      <c r="D96" s="1" t="s">
        <v>41</v>
      </c>
      <c r="E96" s="1" t="s">
        <v>37</v>
      </c>
      <c r="F96" s="1" t="s">
        <v>38</v>
      </c>
      <c r="G96" s="1" t="s">
        <v>39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f t="shared" si="1"/>
        <v>0</v>
      </c>
      <c r="O96" s="1">
        <v>0</v>
      </c>
      <c r="P96" s="1"/>
      <c r="Q96" s="1">
        <v>84.2</v>
      </c>
    </row>
    <row r="97" spans="1:17">
      <c r="A97" s="1" t="s">
        <v>140</v>
      </c>
      <c r="B97" s="4">
        <v>45693</v>
      </c>
      <c r="C97" s="1" t="s">
        <v>1</v>
      </c>
      <c r="D97" s="1" t="s">
        <v>41</v>
      </c>
      <c r="E97" s="1" t="s">
        <v>37</v>
      </c>
      <c r="F97" s="1" t="s">
        <v>54</v>
      </c>
      <c r="G97" s="1" t="s">
        <v>39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f t="shared" si="1"/>
        <v>0</v>
      </c>
      <c r="O97" s="1">
        <v>0</v>
      </c>
      <c r="P97" s="1"/>
      <c r="Q97" s="1">
        <v>68</v>
      </c>
    </row>
    <row r="98" spans="1:17">
      <c r="A98" s="1" t="s">
        <v>141</v>
      </c>
      <c r="B98" s="4">
        <v>45702</v>
      </c>
      <c r="C98" s="1" t="s">
        <v>1</v>
      </c>
      <c r="D98" s="1" t="s">
        <v>36</v>
      </c>
      <c r="E98" s="1" t="s">
        <v>37</v>
      </c>
      <c r="F98" s="1" t="s">
        <v>38</v>
      </c>
      <c r="G98" s="1" t="s">
        <v>34</v>
      </c>
      <c r="H98" s="1">
        <v>1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f t="shared" si="1"/>
        <v>0</v>
      </c>
      <c r="O98" s="1">
        <v>0</v>
      </c>
      <c r="P98" s="1"/>
      <c r="Q98" s="1">
        <v>53.5</v>
      </c>
    </row>
    <row r="99" spans="1:17">
      <c r="A99" s="1" t="s">
        <v>142</v>
      </c>
      <c r="B99" s="4">
        <v>45699</v>
      </c>
      <c r="C99" s="1" t="s">
        <v>1</v>
      </c>
      <c r="D99" s="1" t="s">
        <v>31</v>
      </c>
      <c r="E99" s="1" t="s">
        <v>32</v>
      </c>
      <c r="F99" s="1" t="s">
        <v>38</v>
      </c>
      <c r="G99" s="1" t="s">
        <v>43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f t="shared" si="1"/>
        <v>0</v>
      </c>
      <c r="O99" s="1">
        <v>0</v>
      </c>
      <c r="P99" s="1"/>
      <c r="Q99" s="1">
        <v>63.2</v>
      </c>
    </row>
    <row r="100" spans="1:17">
      <c r="A100" s="1" t="s">
        <v>143</v>
      </c>
      <c r="B100" s="4">
        <v>45699</v>
      </c>
      <c r="C100" s="1" t="s">
        <v>1</v>
      </c>
      <c r="D100" s="1" t="s">
        <v>41</v>
      </c>
      <c r="E100" s="1" t="s">
        <v>32</v>
      </c>
      <c r="F100" s="1" t="s">
        <v>54</v>
      </c>
      <c r="G100" s="1" t="s">
        <v>39</v>
      </c>
      <c r="H100" s="1">
        <v>1</v>
      </c>
      <c r="I100" s="1">
        <v>1</v>
      </c>
      <c r="J100" s="1">
        <v>1</v>
      </c>
      <c r="K100" s="1">
        <v>1</v>
      </c>
      <c r="L100" s="1">
        <v>363.32</v>
      </c>
      <c r="M100" s="1">
        <v>0</v>
      </c>
      <c r="N100" s="1">
        <f t="shared" si="1"/>
        <v>0</v>
      </c>
      <c r="O100" s="1">
        <v>0</v>
      </c>
      <c r="P100" s="1">
        <v>9</v>
      </c>
      <c r="Q100" s="1">
        <v>55.9</v>
      </c>
    </row>
    <row r="101" spans="1:17">
      <c r="A101" s="1" t="s">
        <v>144</v>
      </c>
      <c r="B101" s="4">
        <v>45803</v>
      </c>
      <c r="C101" s="1" t="s">
        <v>1</v>
      </c>
      <c r="D101" s="1" t="s">
        <v>31</v>
      </c>
      <c r="E101" s="1" t="s">
        <v>37</v>
      </c>
      <c r="F101" s="1" t="s">
        <v>38</v>
      </c>
      <c r="G101" s="1" t="s">
        <v>39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f t="shared" si="1"/>
        <v>0</v>
      </c>
      <c r="O101" s="1">
        <v>0</v>
      </c>
      <c r="P101" s="1"/>
      <c r="Q101" s="1">
        <v>63.5</v>
      </c>
    </row>
    <row r="102" spans="1:17">
      <c r="A102" s="1" t="s">
        <v>145</v>
      </c>
      <c r="B102" s="4">
        <v>45738</v>
      </c>
      <c r="C102" s="1" t="s">
        <v>1</v>
      </c>
      <c r="D102" s="1" t="s">
        <v>31</v>
      </c>
      <c r="E102" s="1" t="s">
        <v>37</v>
      </c>
      <c r="F102" s="1" t="s">
        <v>42</v>
      </c>
      <c r="G102" s="1" t="s">
        <v>34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f t="shared" si="1"/>
        <v>0</v>
      </c>
      <c r="O102" s="1">
        <v>0</v>
      </c>
      <c r="P102" s="1"/>
      <c r="Q102" s="1">
        <v>51.5</v>
      </c>
    </row>
    <row r="103" spans="1:17">
      <c r="A103" s="1" t="s">
        <v>146</v>
      </c>
      <c r="B103" s="4">
        <v>45755</v>
      </c>
      <c r="C103" s="1" t="s">
        <v>1</v>
      </c>
      <c r="D103" s="1" t="s">
        <v>36</v>
      </c>
      <c r="E103" s="1" t="s">
        <v>37</v>
      </c>
      <c r="F103" s="1" t="s">
        <v>42</v>
      </c>
      <c r="G103" s="1" t="s">
        <v>39</v>
      </c>
      <c r="H103" s="1">
        <v>1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f t="shared" si="1"/>
        <v>0</v>
      </c>
      <c r="O103" s="1">
        <v>0</v>
      </c>
      <c r="P103" s="1"/>
      <c r="Q103" s="1">
        <v>74.400000000000006</v>
      </c>
    </row>
    <row r="104" spans="1:17">
      <c r="A104" s="1" t="s">
        <v>147</v>
      </c>
      <c r="B104" s="4">
        <v>45761</v>
      </c>
      <c r="C104" s="1" t="s">
        <v>1</v>
      </c>
      <c r="D104" s="1" t="s">
        <v>31</v>
      </c>
      <c r="E104" s="1" t="s">
        <v>32</v>
      </c>
      <c r="F104" s="1" t="s">
        <v>54</v>
      </c>
      <c r="G104" s="1" t="s">
        <v>39</v>
      </c>
      <c r="H104" s="1">
        <v>1</v>
      </c>
      <c r="I104" s="1">
        <v>1</v>
      </c>
      <c r="J104" s="1">
        <v>1</v>
      </c>
      <c r="K104" s="1">
        <v>1</v>
      </c>
      <c r="L104" s="1">
        <v>3887.98</v>
      </c>
      <c r="M104" s="1">
        <v>0</v>
      </c>
      <c r="N104" s="1">
        <f t="shared" si="1"/>
        <v>0</v>
      </c>
      <c r="O104" s="1">
        <v>0</v>
      </c>
      <c r="P104" s="1">
        <v>13</v>
      </c>
      <c r="Q104" s="1">
        <v>60.2</v>
      </c>
    </row>
    <row r="105" spans="1:17">
      <c r="A105" s="1" t="s">
        <v>148</v>
      </c>
      <c r="B105" s="4">
        <v>45743</v>
      </c>
      <c r="C105" s="1" t="s">
        <v>1</v>
      </c>
      <c r="D105" s="1" t="s">
        <v>45</v>
      </c>
      <c r="E105" s="1" t="s">
        <v>37</v>
      </c>
      <c r="F105" s="1" t="s">
        <v>33</v>
      </c>
      <c r="G105" s="1" t="s">
        <v>39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  <c r="M105" s="1">
        <v>1</v>
      </c>
      <c r="N105" s="1">
        <f t="shared" si="1"/>
        <v>1</v>
      </c>
      <c r="O105" s="1">
        <v>0</v>
      </c>
      <c r="P105" s="1"/>
      <c r="Q105" s="1">
        <v>67.2</v>
      </c>
    </row>
    <row r="106" spans="1:17">
      <c r="A106" s="1" t="s">
        <v>149</v>
      </c>
      <c r="B106" s="4">
        <v>45662</v>
      </c>
      <c r="C106" s="1" t="s">
        <v>1</v>
      </c>
      <c r="D106" s="1" t="s">
        <v>45</v>
      </c>
      <c r="E106" s="1" t="s">
        <v>37</v>
      </c>
      <c r="F106" s="1" t="s">
        <v>54</v>
      </c>
      <c r="G106" s="1" t="s">
        <v>39</v>
      </c>
      <c r="H106" s="1">
        <v>1</v>
      </c>
      <c r="I106" s="1">
        <v>1</v>
      </c>
      <c r="J106" s="1">
        <v>1</v>
      </c>
      <c r="K106" s="1">
        <v>0</v>
      </c>
      <c r="L106" s="1">
        <v>0</v>
      </c>
      <c r="M106" s="1">
        <v>0</v>
      </c>
      <c r="N106" s="1">
        <f t="shared" si="1"/>
        <v>0</v>
      </c>
      <c r="O106" s="1">
        <v>0</v>
      </c>
      <c r="P106" s="1"/>
      <c r="Q106" s="1">
        <v>79.599999999999994</v>
      </c>
    </row>
    <row r="107" spans="1:17">
      <c r="A107" s="1" t="s">
        <v>150</v>
      </c>
      <c r="B107" s="4">
        <v>45682</v>
      </c>
      <c r="C107" s="1" t="s">
        <v>1</v>
      </c>
      <c r="D107" s="1" t="s">
        <v>45</v>
      </c>
      <c r="E107" s="1" t="s">
        <v>37</v>
      </c>
      <c r="F107" s="1" t="s">
        <v>54</v>
      </c>
      <c r="G107" s="1" t="s">
        <v>34</v>
      </c>
      <c r="H107" s="1">
        <v>1</v>
      </c>
      <c r="I107" s="1">
        <v>1</v>
      </c>
      <c r="J107" s="1">
        <v>1</v>
      </c>
      <c r="K107" s="1">
        <v>1</v>
      </c>
      <c r="L107" s="1">
        <v>8610.7199999999993</v>
      </c>
      <c r="M107" s="1">
        <v>0</v>
      </c>
      <c r="N107" s="1">
        <f t="shared" si="1"/>
        <v>0</v>
      </c>
      <c r="O107" s="1">
        <v>0</v>
      </c>
      <c r="P107" s="1">
        <v>6</v>
      </c>
      <c r="Q107" s="1">
        <v>61</v>
      </c>
    </row>
    <row r="108" spans="1:17">
      <c r="A108" s="1" t="s">
        <v>151</v>
      </c>
      <c r="B108" s="4">
        <v>45680</v>
      </c>
      <c r="C108" s="1" t="s">
        <v>1</v>
      </c>
      <c r="D108" s="1" t="s">
        <v>36</v>
      </c>
      <c r="E108" s="1" t="s">
        <v>37</v>
      </c>
      <c r="F108" s="1" t="s">
        <v>33</v>
      </c>
      <c r="G108" s="1" t="s">
        <v>39</v>
      </c>
      <c r="H108" s="1">
        <v>1</v>
      </c>
      <c r="I108" s="1">
        <v>1</v>
      </c>
      <c r="J108" s="1">
        <v>1</v>
      </c>
      <c r="K108" s="1">
        <v>0</v>
      </c>
      <c r="L108" s="1">
        <v>0</v>
      </c>
      <c r="M108" s="1">
        <v>4</v>
      </c>
      <c r="N108" s="1">
        <f t="shared" si="1"/>
        <v>1</v>
      </c>
      <c r="O108" s="1">
        <v>0</v>
      </c>
      <c r="P108" s="1"/>
      <c r="Q108" s="1">
        <v>51.1</v>
      </c>
    </row>
    <row r="109" spans="1:17">
      <c r="A109" s="1" t="s">
        <v>152</v>
      </c>
      <c r="B109" s="4">
        <v>45802</v>
      </c>
      <c r="C109" s="1" t="s">
        <v>1</v>
      </c>
      <c r="D109" s="1" t="s">
        <v>41</v>
      </c>
      <c r="E109" s="1" t="s">
        <v>32</v>
      </c>
      <c r="F109" s="1" t="s">
        <v>52</v>
      </c>
      <c r="G109" s="1" t="s">
        <v>39</v>
      </c>
      <c r="H109" s="1">
        <v>1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f t="shared" si="1"/>
        <v>0</v>
      </c>
      <c r="O109" s="1">
        <v>0</v>
      </c>
      <c r="P109" s="1"/>
      <c r="Q109" s="1">
        <v>92.1</v>
      </c>
    </row>
    <row r="110" spans="1:17">
      <c r="A110" s="1" t="s">
        <v>153</v>
      </c>
      <c r="B110" s="4">
        <v>45738</v>
      </c>
      <c r="C110" s="1" t="s">
        <v>1</v>
      </c>
      <c r="D110" s="1" t="s">
        <v>45</v>
      </c>
      <c r="E110" s="1" t="s">
        <v>37</v>
      </c>
      <c r="F110" s="1" t="s">
        <v>52</v>
      </c>
      <c r="G110" s="1" t="s">
        <v>34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f t="shared" si="1"/>
        <v>0</v>
      </c>
      <c r="O110" s="1">
        <v>0</v>
      </c>
      <c r="P110" s="1"/>
      <c r="Q110" s="1">
        <v>82.1</v>
      </c>
    </row>
    <row r="111" spans="1:17">
      <c r="A111" s="1" t="s">
        <v>154</v>
      </c>
      <c r="B111" s="4">
        <v>45700</v>
      </c>
      <c r="C111" s="1" t="s">
        <v>1</v>
      </c>
      <c r="D111" s="1" t="s">
        <v>36</v>
      </c>
      <c r="E111" s="1" t="s">
        <v>32</v>
      </c>
      <c r="F111" s="1" t="s">
        <v>42</v>
      </c>
      <c r="G111" s="1" t="s">
        <v>34</v>
      </c>
      <c r="H111" s="1">
        <v>1</v>
      </c>
      <c r="I111" s="1">
        <v>0</v>
      </c>
      <c r="J111" s="1">
        <v>0</v>
      </c>
      <c r="K111" s="1">
        <v>0</v>
      </c>
      <c r="L111" s="1">
        <v>0</v>
      </c>
      <c r="M111" s="1">
        <v>1</v>
      </c>
      <c r="N111" s="1">
        <f t="shared" si="1"/>
        <v>1</v>
      </c>
      <c r="O111" s="1">
        <v>0</v>
      </c>
      <c r="P111" s="1"/>
      <c r="Q111" s="1">
        <v>74</v>
      </c>
    </row>
    <row r="112" spans="1:17">
      <c r="A112" s="1" t="s">
        <v>155</v>
      </c>
      <c r="B112" s="4">
        <v>45775</v>
      </c>
      <c r="C112" s="1" t="s">
        <v>1</v>
      </c>
      <c r="D112" s="1" t="s">
        <v>36</v>
      </c>
      <c r="E112" s="1" t="s">
        <v>32</v>
      </c>
      <c r="F112" s="1" t="s">
        <v>38</v>
      </c>
      <c r="G112" s="1" t="s">
        <v>34</v>
      </c>
      <c r="H112" s="1">
        <v>1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f t="shared" si="1"/>
        <v>0</v>
      </c>
      <c r="O112" s="1">
        <v>0</v>
      </c>
      <c r="P112" s="1"/>
      <c r="Q112" s="1">
        <v>63.4</v>
      </c>
    </row>
    <row r="113" spans="1:17">
      <c r="A113" s="1" t="s">
        <v>156</v>
      </c>
      <c r="B113" s="4">
        <v>45687</v>
      </c>
      <c r="C113" s="1" t="s">
        <v>1</v>
      </c>
      <c r="D113" s="1" t="s">
        <v>31</v>
      </c>
      <c r="E113" s="1" t="s">
        <v>37</v>
      </c>
      <c r="F113" s="1" t="s">
        <v>38</v>
      </c>
      <c r="G113" s="1" t="s">
        <v>34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f t="shared" si="1"/>
        <v>0</v>
      </c>
      <c r="O113" s="1">
        <v>0</v>
      </c>
      <c r="P113" s="1"/>
      <c r="Q113" s="1">
        <v>53.2</v>
      </c>
    </row>
    <row r="114" spans="1:17">
      <c r="A114" s="1" t="s">
        <v>157</v>
      </c>
      <c r="B114" s="4">
        <v>45796</v>
      </c>
      <c r="C114" s="1" t="s">
        <v>1</v>
      </c>
      <c r="D114" s="1" t="s">
        <v>41</v>
      </c>
      <c r="E114" s="1" t="s">
        <v>47</v>
      </c>
      <c r="F114" s="1" t="s">
        <v>42</v>
      </c>
      <c r="G114" s="1" t="s">
        <v>39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f t="shared" si="1"/>
        <v>0</v>
      </c>
      <c r="O114" s="1">
        <v>0</v>
      </c>
      <c r="P114" s="1"/>
      <c r="Q114" s="1">
        <v>48.1</v>
      </c>
    </row>
    <row r="115" spans="1:17">
      <c r="A115" s="1" t="s">
        <v>158</v>
      </c>
      <c r="B115" s="4">
        <v>45680</v>
      </c>
      <c r="C115" s="1" t="s">
        <v>1</v>
      </c>
      <c r="D115" s="1" t="s">
        <v>45</v>
      </c>
      <c r="E115" s="1" t="s">
        <v>37</v>
      </c>
      <c r="F115" s="1" t="s">
        <v>54</v>
      </c>
      <c r="G115" s="1" t="s">
        <v>39</v>
      </c>
      <c r="H115" s="1">
        <v>1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f t="shared" si="1"/>
        <v>0</v>
      </c>
      <c r="O115" s="1">
        <v>0</v>
      </c>
      <c r="P115" s="1"/>
      <c r="Q115" s="1">
        <v>61.5</v>
      </c>
    </row>
    <row r="116" spans="1:17">
      <c r="A116" s="1" t="s">
        <v>159</v>
      </c>
      <c r="B116" s="4">
        <v>45744</v>
      </c>
      <c r="C116" s="1" t="s">
        <v>1</v>
      </c>
      <c r="D116" s="1" t="s">
        <v>41</v>
      </c>
      <c r="E116" s="1" t="s">
        <v>32</v>
      </c>
      <c r="F116" s="1" t="s">
        <v>54</v>
      </c>
      <c r="G116" s="1" t="s">
        <v>39</v>
      </c>
      <c r="H116" s="1">
        <v>1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f t="shared" si="1"/>
        <v>0</v>
      </c>
      <c r="O116" s="1">
        <v>0</v>
      </c>
      <c r="P116" s="1"/>
      <c r="Q116" s="1">
        <v>63.2</v>
      </c>
    </row>
    <row r="117" spans="1:17">
      <c r="A117" s="1" t="s">
        <v>160</v>
      </c>
      <c r="B117" s="4">
        <v>45668</v>
      </c>
      <c r="C117" s="1" t="s">
        <v>1</v>
      </c>
      <c r="D117" s="1" t="s">
        <v>36</v>
      </c>
      <c r="E117" s="1" t="s">
        <v>37</v>
      </c>
      <c r="F117" s="1" t="s">
        <v>38</v>
      </c>
      <c r="G117" s="1" t="s">
        <v>39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f t="shared" si="1"/>
        <v>0</v>
      </c>
      <c r="O117" s="1">
        <v>0</v>
      </c>
      <c r="P117" s="1"/>
      <c r="Q117" s="1">
        <v>71.900000000000006</v>
      </c>
    </row>
    <row r="118" spans="1:17">
      <c r="A118" s="1" t="s">
        <v>161</v>
      </c>
      <c r="B118" s="4">
        <v>45758</v>
      </c>
      <c r="C118" s="1" t="s">
        <v>1</v>
      </c>
      <c r="D118" s="1" t="s">
        <v>31</v>
      </c>
      <c r="E118" s="1" t="s">
        <v>37</v>
      </c>
      <c r="F118" s="1" t="s">
        <v>52</v>
      </c>
      <c r="G118" s="1" t="s">
        <v>39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f t="shared" si="1"/>
        <v>0</v>
      </c>
      <c r="O118" s="1">
        <v>0</v>
      </c>
      <c r="P118" s="1"/>
      <c r="Q118" s="1">
        <v>62.7</v>
      </c>
    </row>
    <row r="119" spans="1:17">
      <c r="A119" s="1" t="s">
        <v>162</v>
      </c>
      <c r="B119" s="4">
        <v>45659</v>
      </c>
      <c r="C119" s="1" t="s">
        <v>1</v>
      </c>
      <c r="D119" s="1" t="s">
        <v>36</v>
      </c>
      <c r="E119" s="1" t="s">
        <v>37</v>
      </c>
      <c r="F119" s="1" t="s">
        <v>42</v>
      </c>
      <c r="G119" s="1" t="s">
        <v>39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f t="shared" si="1"/>
        <v>0</v>
      </c>
      <c r="O119" s="1">
        <v>0</v>
      </c>
      <c r="P119" s="1"/>
      <c r="Q119" s="1">
        <v>51.5</v>
      </c>
    </row>
    <row r="120" spans="1:17">
      <c r="A120" s="1" t="s">
        <v>163</v>
      </c>
      <c r="B120" s="4">
        <v>45734</v>
      </c>
      <c r="C120" s="1" t="s">
        <v>1</v>
      </c>
      <c r="D120" s="1" t="s">
        <v>41</v>
      </c>
      <c r="E120" s="1" t="s">
        <v>37</v>
      </c>
      <c r="F120" s="1" t="s">
        <v>54</v>
      </c>
      <c r="G120" s="1" t="s">
        <v>39</v>
      </c>
      <c r="H120" s="1">
        <v>1</v>
      </c>
      <c r="I120" s="1">
        <v>1</v>
      </c>
      <c r="J120" s="1">
        <v>1</v>
      </c>
      <c r="K120" s="1">
        <v>0</v>
      </c>
      <c r="L120" s="1">
        <v>0</v>
      </c>
      <c r="M120" s="1">
        <v>0</v>
      </c>
      <c r="N120" s="1">
        <f t="shared" si="1"/>
        <v>0</v>
      </c>
      <c r="O120" s="1">
        <v>0</v>
      </c>
      <c r="P120" s="1"/>
      <c r="Q120" s="1">
        <v>39.1</v>
      </c>
    </row>
    <row r="121" spans="1:17">
      <c r="A121" s="1" t="s">
        <v>164</v>
      </c>
      <c r="B121" s="4">
        <v>45747</v>
      </c>
      <c r="C121" s="1" t="s">
        <v>1</v>
      </c>
      <c r="D121" s="1" t="s">
        <v>31</v>
      </c>
      <c r="E121" s="1" t="s">
        <v>37</v>
      </c>
      <c r="F121" s="1" t="s">
        <v>33</v>
      </c>
      <c r="G121" s="1" t="s">
        <v>39</v>
      </c>
      <c r="H121" s="1">
        <v>1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f t="shared" si="1"/>
        <v>0</v>
      </c>
      <c r="O121" s="1">
        <v>0</v>
      </c>
      <c r="P121" s="1"/>
      <c r="Q121" s="1">
        <v>43.8</v>
      </c>
    </row>
    <row r="122" spans="1:17">
      <c r="A122" s="1" t="s">
        <v>165</v>
      </c>
      <c r="B122" s="4">
        <v>45663</v>
      </c>
      <c r="C122" s="1" t="s">
        <v>1</v>
      </c>
      <c r="D122" s="1" t="s">
        <v>31</v>
      </c>
      <c r="E122" s="1" t="s">
        <v>37</v>
      </c>
      <c r="F122" s="1" t="s">
        <v>42</v>
      </c>
      <c r="G122" s="1" t="s">
        <v>34</v>
      </c>
      <c r="H122" s="1">
        <v>1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f t="shared" si="1"/>
        <v>0</v>
      </c>
      <c r="O122" s="1">
        <v>0</v>
      </c>
      <c r="P122" s="1"/>
      <c r="Q122" s="1">
        <v>59.9</v>
      </c>
    </row>
    <row r="123" spans="1:17">
      <c r="A123" s="1" t="s">
        <v>166</v>
      </c>
      <c r="B123" s="4">
        <v>45683</v>
      </c>
      <c r="C123" s="1" t="s">
        <v>1</v>
      </c>
      <c r="D123" s="1" t="s">
        <v>31</v>
      </c>
      <c r="E123" s="1" t="s">
        <v>37</v>
      </c>
      <c r="F123" s="1" t="s">
        <v>52</v>
      </c>
      <c r="G123" s="1" t="s">
        <v>39</v>
      </c>
      <c r="H123" s="1">
        <v>1</v>
      </c>
      <c r="I123" s="1">
        <v>1</v>
      </c>
      <c r="J123" s="1">
        <v>0</v>
      </c>
      <c r="K123" s="1">
        <v>0</v>
      </c>
      <c r="L123" s="1">
        <v>0</v>
      </c>
      <c r="M123" s="1">
        <v>0</v>
      </c>
      <c r="N123" s="1">
        <f t="shared" si="1"/>
        <v>0</v>
      </c>
      <c r="O123" s="1">
        <v>0</v>
      </c>
      <c r="P123" s="1"/>
      <c r="Q123" s="1">
        <v>71.400000000000006</v>
      </c>
    </row>
    <row r="124" spans="1:17">
      <c r="A124" s="1" t="s">
        <v>167</v>
      </c>
      <c r="B124" s="4">
        <v>45769</v>
      </c>
      <c r="C124" s="1" t="s">
        <v>1</v>
      </c>
      <c r="D124" s="1" t="s">
        <v>45</v>
      </c>
      <c r="E124" s="1" t="s">
        <v>37</v>
      </c>
      <c r="F124" s="1" t="s">
        <v>52</v>
      </c>
      <c r="G124" s="1" t="s">
        <v>34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f t="shared" si="1"/>
        <v>0</v>
      </c>
      <c r="O124" s="1">
        <v>0</v>
      </c>
      <c r="P124" s="1"/>
      <c r="Q124" s="1">
        <v>36.1</v>
      </c>
    </row>
    <row r="125" spans="1:17">
      <c r="A125" s="1" t="s">
        <v>168</v>
      </c>
      <c r="B125" s="4">
        <v>45807</v>
      </c>
      <c r="C125" s="1" t="s">
        <v>1</v>
      </c>
      <c r="D125" s="1" t="s">
        <v>36</v>
      </c>
      <c r="E125" s="1"/>
      <c r="F125" s="1" t="s">
        <v>33</v>
      </c>
      <c r="G125" s="1" t="s">
        <v>34</v>
      </c>
      <c r="H125" s="1">
        <v>1</v>
      </c>
      <c r="I125" s="1">
        <v>1</v>
      </c>
      <c r="J125" s="1">
        <v>0</v>
      </c>
      <c r="K125" s="1">
        <v>0</v>
      </c>
      <c r="L125" s="1">
        <v>0</v>
      </c>
      <c r="M125" s="1">
        <v>0</v>
      </c>
      <c r="N125" s="1">
        <f t="shared" si="1"/>
        <v>0</v>
      </c>
      <c r="O125" s="1">
        <v>0</v>
      </c>
      <c r="P125" s="1"/>
      <c r="Q125" s="1">
        <v>47.9</v>
      </c>
    </row>
    <row r="126" spans="1:17">
      <c r="A126" s="1" t="s">
        <v>169</v>
      </c>
      <c r="B126" s="4">
        <v>45795</v>
      </c>
      <c r="C126" s="1" t="s">
        <v>1</v>
      </c>
      <c r="D126" s="1" t="s">
        <v>36</v>
      </c>
      <c r="E126" s="1" t="s">
        <v>32</v>
      </c>
      <c r="F126" s="1" t="s">
        <v>38</v>
      </c>
      <c r="G126" s="1" t="s">
        <v>43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f t="shared" si="1"/>
        <v>0</v>
      </c>
      <c r="O126" s="1">
        <v>0</v>
      </c>
      <c r="P126" s="1"/>
      <c r="Q126" s="1">
        <v>62.5</v>
      </c>
    </row>
    <row r="127" spans="1:17">
      <c r="A127" s="1" t="s">
        <v>170</v>
      </c>
      <c r="B127" s="4">
        <v>45670</v>
      </c>
      <c r="C127" s="1" t="s">
        <v>1</v>
      </c>
      <c r="D127" s="1" t="s">
        <v>45</v>
      </c>
      <c r="E127" s="1" t="s">
        <v>32</v>
      </c>
      <c r="F127" s="1" t="s">
        <v>42</v>
      </c>
      <c r="G127" s="1" t="s">
        <v>43</v>
      </c>
      <c r="H127" s="1">
        <v>1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f t="shared" si="1"/>
        <v>0</v>
      </c>
      <c r="O127" s="1">
        <v>0</v>
      </c>
      <c r="P127" s="1"/>
      <c r="Q127" s="1">
        <v>56.9</v>
      </c>
    </row>
    <row r="128" spans="1:17">
      <c r="A128" s="1" t="s">
        <v>171</v>
      </c>
      <c r="B128" s="4">
        <v>45741</v>
      </c>
      <c r="C128" s="1" t="s">
        <v>1</v>
      </c>
      <c r="D128" s="1" t="s">
        <v>31</v>
      </c>
      <c r="E128" s="1" t="s">
        <v>32</v>
      </c>
      <c r="F128" s="1" t="s">
        <v>33</v>
      </c>
      <c r="G128" s="1" t="s">
        <v>39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f t="shared" si="1"/>
        <v>0</v>
      </c>
      <c r="O128" s="1">
        <v>0</v>
      </c>
      <c r="P128" s="1"/>
      <c r="Q128" s="1">
        <v>64.7</v>
      </c>
    </row>
    <row r="129" spans="1:17">
      <c r="A129" s="1" t="s">
        <v>172</v>
      </c>
      <c r="B129" s="4">
        <v>45776</v>
      </c>
      <c r="C129" s="1" t="s">
        <v>1</v>
      </c>
      <c r="D129" s="1" t="s">
        <v>45</v>
      </c>
      <c r="E129" s="1" t="s">
        <v>32</v>
      </c>
      <c r="F129" s="1" t="s">
        <v>38</v>
      </c>
      <c r="G129" s="1" t="s">
        <v>39</v>
      </c>
      <c r="H129" s="1">
        <v>1</v>
      </c>
      <c r="I129" s="1">
        <v>1</v>
      </c>
      <c r="J129" s="1">
        <v>1</v>
      </c>
      <c r="K129" s="1">
        <v>0</v>
      </c>
      <c r="L129" s="1">
        <v>0</v>
      </c>
      <c r="M129" s="1">
        <v>0</v>
      </c>
      <c r="N129" s="1">
        <f t="shared" si="1"/>
        <v>0</v>
      </c>
      <c r="O129" s="1">
        <v>0</v>
      </c>
      <c r="P129" s="1"/>
      <c r="Q129" s="1">
        <v>64</v>
      </c>
    </row>
    <row r="130" spans="1:17">
      <c r="A130" s="1" t="s">
        <v>173</v>
      </c>
      <c r="B130" s="4">
        <v>45794</v>
      </c>
      <c r="C130" s="1" t="s">
        <v>1</v>
      </c>
      <c r="D130" s="1" t="s">
        <v>41</v>
      </c>
      <c r="E130" s="1" t="s">
        <v>37</v>
      </c>
      <c r="F130" s="1" t="s">
        <v>52</v>
      </c>
      <c r="G130" s="1" t="s">
        <v>34</v>
      </c>
      <c r="H130" s="1">
        <v>1</v>
      </c>
      <c r="I130" s="1">
        <v>1</v>
      </c>
      <c r="J130" s="1">
        <v>1</v>
      </c>
      <c r="K130" s="1">
        <v>0</v>
      </c>
      <c r="L130" s="1">
        <v>0</v>
      </c>
      <c r="M130" s="1">
        <v>0</v>
      </c>
      <c r="N130" s="1">
        <f t="shared" si="1"/>
        <v>0</v>
      </c>
      <c r="O130" s="1">
        <v>0</v>
      </c>
      <c r="P130" s="1"/>
      <c r="Q130" s="1">
        <v>75.2</v>
      </c>
    </row>
    <row r="131" spans="1:17">
      <c r="A131" s="1" t="s">
        <v>174</v>
      </c>
      <c r="B131" s="4">
        <v>45659</v>
      </c>
      <c r="C131" s="1" t="s">
        <v>1</v>
      </c>
      <c r="D131" s="1" t="s">
        <v>31</v>
      </c>
      <c r="E131" s="1" t="s">
        <v>37</v>
      </c>
      <c r="F131" s="1" t="s">
        <v>42</v>
      </c>
      <c r="G131" s="1" t="s">
        <v>39</v>
      </c>
      <c r="H131" s="1">
        <v>1</v>
      </c>
      <c r="I131" s="1">
        <v>0</v>
      </c>
      <c r="J131" s="1">
        <v>0</v>
      </c>
      <c r="K131" s="1">
        <v>0</v>
      </c>
      <c r="L131" s="1">
        <v>0</v>
      </c>
      <c r="M131" s="1">
        <v>1</v>
      </c>
      <c r="N131" s="1">
        <f t="shared" ref="N131:N194" si="2">IF(M131&gt;0,1,0)</f>
        <v>1</v>
      </c>
      <c r="O131" s="1">
        <v>0</v>
      </c>
      <c r="P131" s="1"/>
      <c r="Q131" s="1">
        <v>79</v>
      </c>
    </row>
    <row r="132" spans="1:17">
      <c r="A132" s="1" t="s">
        <v>175</v>
      </c>
      <c r="B132" s="4">
        <v>45691</v>
      </c>
      <c r="C132" s="1" t="s">
        <v>1</v>
      </c>
      <c r="D132" s="1" t="s">
        <v>45</v>
      </c>
      <c r="E132" s="1" t="s">
        <v>37</v>
      </c>
      <c r="F132" s="1" t="s">
        <v>38</v>
      </c>
      <c r="G132" s="1" t="s">
        <v>39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f t="shared" si="2"/>
        <v>0</v>
      </c>
      <c r="O132" s="1">
        <v>0</v>
      </c>
      <c r="P132" s="1"/>
      <c r="Q132" s="1">
        <v>33</v>
      </c>
    </row>
    <row r="133" spans="1:17">
      <c r="A133" s="1" t="s">
        <v>176</v>
      </c>
      <c r="B133" s="4">
        <v>45720</v>
      </c>
      <c r="C133" s="1" t="s">
        <v>1</v>
      </c>
      <c r="D133" s="1" t="s">
        <v>41</v>
      </c>
      <c r="E133" s="1" t="s">
        <v>37</v>
      </c>
      <c r="F133" s="1" t="s">
        <v>38</v>
      </c>
      <c r="G133" s="1" t="s">
        <v>39</v>
      </c>
      <c r="H133" s="1">
        <v>1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f t="shared" si="2"/>
        <v>0</v>
      </c>
      <c r="O133" s="1">
        <v>0</v>
      </c>
      <c r="P133" s="1"/>
      <c r="Q133" s="1">
        <v>67.900000000000006</v>
      </c>
    </row>
    <row r="134" spans="1:17">
      <c r="A134" s="1" t="s">
        <v>177</v>
      </c>
      <c r="B134" s="4">
        <v>45683</v>
      </c>
      <c r="C134" s="1" t="s">
        <v>1</v>
      </c>
      <c r="D134" s="1" t="s">
        <v>45</v>
      </c>
      <c r="E134" s="1" t="s">
        <v>37</v>
      </c>
      <c r="F134" s="1" t="s">
        <v>42</v>
      </c>
      <c r="G134" s="1" t="s">
        <v>34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f t="shared" si="2"/>
        <v>0</v>
      </c>
      <c r="O134" s="1">
        <v>0</v>
      </c>
      <c r="P134" s="1"/>
      <c r="Q134" s="1">
        <v>42.2</v>
      </c>
    </row>
    <row r="135" spans="1:17">
      <c r="A135" s="1" t="s">
        <v>178</v>
      </c>
      <c r="B135" s="4">
        <v>45789</v>
      </c>
      <c r="C135" s="1" t="s">
        <v>1</v>
      </c>
      <c r="D135" s="1" t="s">
        <v>36</v>
      </c>
      <c r="E135" s="1" t="s">
        <v>37</v>
      </c>
      <c r="F135" s="1" t="s">
        <v>42</v>
      </c>
      <c r="G135" s="1" t="s">
        <v>34</v>
      </c>
      <c r="H135" s="1">
        <v>1</v>
      </c>
      <c r="I135" s="1">
        <v>1</v>
      </c>
      <c r="J135" s="1">
        <v>1</v>
      </c>
      <c r="K135" s="1">
        <v>0</v>
      </c>
      <c r="L135" s="1">
        <v>0</v>
      </c>
      <c r="M135" s="1">
        <v>0</v>
      </c>
      <c r="N135" s="1">
        <f t="shared" si="2"/>
        <v>0</v>
      </c>
      <c r="O135" s="1">
        <v>0</v>
      </c>
      <c r="P135" s="1"/>
      <c r="Q135" s="1">
        <v>43.4</v>
      </c>
    </row>
    <row r="136" spans="1:17">
      <c r="A136" s="1" t="s">
        <v>179</v>
      </c>
      <c r="B136" s="4">
        <v>45722</v>
      </c>
      <c r="C136" s="1" t="s">
        <v>1</v>
      </c>
      <c r="D136" s="1" t="s">
        <v>31</v>
      </c>
      <c r="E136" s="1" t="s">
        <v>37</v>
      </c>
      <c r="F136" s="1" t="s">
        <v>38</v>
      </c>
      <c r="G136" s="1" t="s">
        <v>34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f t="shared" si="2"/>
        <v>0</v>
      </c>
      <c r="O136" s="1">
        <v>0</v>
      </c>
      <c r="P136" s="1"/>
      <c r="Q136" s="1">
        <v>54.4</v>
      </c>
    </row>
    <row r="137" spans="1:17">
      <c r="A137" s="1" t="s">
        <v>180</v>
      </c>
      <c r="B137" s="4">
        <v>45726</v>
      </c>
      <c r="C137" s="1" t="s">
        <v>1</v>
      </c>
      <c r="D137" s="1" t="s">
        <v>45</v>
      </c>
      <c r="E137" s="1" t="s">
        <v>32</v>
      </c>
      <c r="F137" s="1" t="s">
        <v>33</v>
      </c>
      <c r="G137" s="1" t="s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f t="shared" si="2"/>
        <v>0</v>
      </c>
      <c r="O137" s="1">
        <v>0</v>
      </c>
      <c r="P137" s="1"/>
      <c r="Q137" s="1">
        <v>45.7</v>
      </c>
    </row>
    <row r="138" spans="1:17">
      <c r="A138" s="1" t="s">
        <v>181</v>
      </c>
      <c r="B138" s="4">
        <v>45783</v>
      </c>
      <c r="C138" s="1" t="s">
        <v>1</v>
      </c>
      <c r="D138" s="1" t="s">
        <v>31</v>
      </c>
      <c r="E138" s="1" t="s">
        <v>37</v>
      </c>
      <c r="F138" s="1" t="s">
        <v>42</v>
      </c>
      <c r="G138" s="1" t="s">
        <v>39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3</v>
      </c>
      <c r="N138" s="1">
        <f t="shared" si="2"/>
        <v>1</v>
      </c>
      <c r="O138" s="1">
        <v>0</v>
      </c>
      <c r="P138" s="1"/>
      <c r="Q138" s="1">
        <v>32</v>
      </c>
    </row>
    <row r="139" spans="1:17">
      <c r="A139" s="1" t="s">
        <v>182</v>
      </c>
      <c r="B139" s="4">
        <v>45711</v>
      </c>
      <c r="C139" s="1" t="s">
        <v>1</v>
      </c>
      <c r="D139" s="1" t="s">
        <v>45</v>
      </c>
      <c r="E139" s="1" t="s">
        <v>32</v>
      </c>
      <c r="F139" s="1" t="s">
        <v>42</v>
      </c>
      <c r="G139" s="1" t="s">
        <v>39</v>
      </c>
      <c r="H139" s="1">
        <v>1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f t="shared" si="2"/>
        <v>0</v>
      </c>
      <c r="O139" s="1">
        <v>0</v>
      </c>
      <c r="P139" s="1"/>
      <c r="Q139" s="1">
        <v>70.900000000000006</v>
      </c>
    </row>
    <row r="140" spans="1:17">
      <c r="A140" s="1" t="s">
        <v>183</v>
      </c>
      <c r="B140" s="4">
        <v>45686</v>
      </c>
      <c r="C140" s="1" t="s">
        <v>1</v>
      </c>
      <c r="D140" s="1" t="s">
        <v>36</v>
      </c>
      <c r="E140" s="1" t="s">
        <v>37</v>
      </c>
      <c r="F140" s="1" t="s">
        <v>54</v>
      </c>
      <c r="G140" s="1" t="s">
        <v>34</v>
      </c>
      <c r="H140" s="1">
        <v>1</v>
      </c>
      <c r="I140" s="1">
        <v>1</v>
      </c>
      <c r="J140" s="1">
        <v>1</v>
      </c>
      <c r="K140" s="1">
        <v>0</v>
      </c>
      <c r="L140" s="1">
        <v>0</v>
      </c>
      <c r="M140" s="1">
        <v>0</v>
      </c>
      <c r="N140" s="1">
        <f t="shared" si="2"/>
        <v>0</v>
      </c>
      <c r="O140" s="1">
        <v>0</v>
      </c>
      <c r="P140" s="1"/>
      <c r="Q140" s="1">
        <v>59.1</v>
      </c>
    </row>
    <row r="141" spans="1:17">
      <c r="A141" s="1" t="s">
        <v>184</v>
      </c>
      <c r="B141" s="4">
        <v>45688</v>
      </c>
      <c r="C141" s="1" t="s">
        <v>1</v>
      </c>
      <c r="D141" s="1" t="s">
        <v>31</v>
      </c>
      <c r="E141" s="1" t="s">
        <v>37</v>
      </c>
      <c r="F141" s="1" t="s">
        <v>38</v>
      </c>
      <c r="G141" s="1" t="s">
        <v>34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f t="shared" si="2"/>
        <v>0</v>
      </c>
      <c r="O141" s="1">
        <v>0</v>
      </c>
      <c r="P141" s="1"/>
      <c r="Q141" s="1">
        <v>62.4</v>
      </c>
    </row>
    <row r="142" spans="1:17">
      <c r="A142" s="1" t="s">
        <v>185</v>
      </c>
      <c r="B142" s="4">
        <v>45676</v>
      </c>
      <c r="C142" s="1" t="s">
        <v>1</v>
      </c>
      <c r="D142" s="1" t="s">
        <v>45</v>
      </c>
      <c r="E142" s="1" t="s">
        <v>37</v>
      </c>
      <c r="F142" s="1" t="s">
        <v>38</v>
      </c>
      <c r="G142" s="1" t="s">
        <v>39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f t="shared" si="2"/>
        <v>0</v>
      </c>
      <c r="O142" s="1">
        <v>0</v>
      </c>
      <c r="P142" s="1"/>
      <c r="Q142" s="1">
        <v>49.6</v>
      </c>
    </row>
    <row r="143" spans="1:17">
      <c r="A143" s="1" t="s">
        <v>186</v>
      </c>
      <c r="B143" s="4">
        <v>45750</v>
      </c>
      <c r="C143" s="1" t="s">
        <v>1</v>
      </c>
      <c r="D143" s="1" t="s">
        <v>36</v>
      </c>
      <c r="E143" s="1" t="s">
        <v>32</v>
      </c>
      <c r="F143" s="1" t="s">
        <v>54</v>
      </c>
      <c r="G143" s="1" t="s">
        <v>39</v>
      </c>
      <c r="H143" s="1">
        <v>1</v>
      </c>
      <c r="I143" s="1">
        <v>1</v>
      </c>
      <c r="J143" s="1">
        <v>1</v>
      </c>
      <c r="K143" s="1">
        <v>1</v>
      </c>
      <c r="L143" s="1">
        <v>404.4</v>
      </c>
      <c r="M143" s="1">
        <v>0</v>
      </c>
      <c r="N143" s="1">
        <f t="shared" si="2"/>
        <v>0</v>
      </c>
      <c r="O143" s="1">
        <v>0</v>
      </c>
      <c r="P143" s="1">
        <v>9</v>
      </c>
      <c r="Q143" s="1">
        <v>80.599999999999994</v>
      </c>
    </row>
    <row r="144" spans="1:17">
      <c r="A144" s="1" t="s">
        <v>187</v>
      </c>
      <c r="B144" s="4">
        <v>45754</v>
      </c>
      <c r="C144" s="1" t="s">
        <v>1</v>
      </c>
      <c r="D144" s="1" t="s">
        <v>31</v>
      </c>
      <c r="E144" s="1" t="s">
        <v>37</v>
      </c>
      <c r="F144" s="1" t="s">
        <v>42</v>
      </c>
      <c r="G144" s="1" t="s">
        <v>39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f t="shared" si="2"/>
        <v>0</v>
      </c>
      <c r="O144" s="1">
        <v>0</v>
      </c>
      <c r="P144" s="1"/>
      <c r="Q144" s="1">
        <v>47.9</v>
      </c>
    </row>
    <row r="145" spans="1:17">
      <c r="A145" s="1" t="s">
        <v>188</v>
      </c>
      <c r="B145" s="4">
        <v>45663</v>
      </c>
      <c r="C145" s="1" t="s">
        <v>1</v>
      </c>
      <c r="D145" s="1" t="s">
        <v>41</v>
      </c>
      <c r="E145" s="1" t="s">
        <v>37</v>
      </c>
      <c r="F145" s="1" t="s">
        <v>42</v>
      </c>
      <c r="G145" s="1" t="s">
        <v>34</v>
      </c>
      <c r="H145" s="1">
        <v>1</v>
      </c>
      <c r="I145" s="1">
        <v>1</v>
      </c>
      <c r="J145" s="1">
        <v>0</v>
      </c>
      <c r="K145" s="1">
        <v>0</v>
      </c>
      <c r="L145" s="1">
        <v>0</v>
      </c>
      <c r="M145" s="1">
        <v>0</v>
      </c>
      <c r="N145" s="1">
        <f t="shared" si="2"/>
        <v>0</v>
      </c>
      <c r="O145" s="1">
        <v>0</v>
      </c>
      <c r="P145" s="1"/>
      <c r="Q145" s="1">
        <v>54.8</v>
      </c>
    </row>
    <row r="146" spans="1:17">
      <c r="A146" s="1" t="s">
        <v>189</v>
      </c>
      <c r="B146" s="4">
        <v>45758</v>
      </c>
      <c r="C146" s="1" t="s">
        <v>1</v>
      </c>
      <c r="D146" s="1" t="s">
        <v>41</v>
      </c>
      <c r="E146" s="1" t="s">
        <v>37</v>
      </c>
      <c r="F146" s="1" t="s">
        <v>38</v>
      </c>
      <c r="G146" s="1" t="s">
        <v>39</v>
      </c>
      <c r="H146" s="1">
        <v>1</v>
      </c>
      <c r="I146" s="1">
        <v>0</v>
      </c>
      <c r="J146" s="1">
        <v>0</v>
      </c>
      <c r="K146" s="1">
        <v>0</v>
      </c>
      <c r="L146" s="1">
        <v>0</v>
      </c>
      <c r="M146" s="1">
        <v>1</v>
      </c>
      <c r="N146" s="1">
        <f t="shared" si="2"/>
        <v>1</v>
      </c>
      <c r="O146" s="1">
        <v>0</v>
      </c>
      <c r="P146" s="1"/>
      <c r="Q146" s="1">
        <v>53.9</v>
      </c>
    </row>
    <row r="147" spans="1:17">
      <c r="A147" s="1" t="s">
        <v>190</v>
      </c>
      <c r="B147" s="4">
        <v>45770</v>
      </c>
      <c r="C147" s="1" t="s">
        <v>1</v>
      </c>
      <c r="D147" s="1" t="s">
        <v>41</v>
      </c>
      <c r="E147" s="1" t="s">
        <v>37</v>
      </c>
      <c r="F147" s="1" t="s">
        <v>42</v>
      </c>
      <c r="G147" s="1" t="s">
        <v>39</v>
      </c>
      <c r="H147" s="1">
        <v>1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f t="shared" si="2"/>
        <v>0</v>
      </c>
      <c r="O147" s="1">
        <v>0</v>
      </c>
      <c r="P147" s="1"/>
      <c r="Q147" s="1">
        <v>41.3</v>
      </c>
    </row>
    <row r="148" spans="1:17">
      <c r="A148" s="1" t="s">
        <v>191</v>
      </c>
      <c r="B148" s="4">
        <v>45741</v>
      </c>
      <c r="C148" s="1" t="s">
        <v>1</v>
      </c>
      <c r="D148" s="1" t="s">
        <v>36</v>
      </c>
      <c r="E148" s="1" t="s">
        <v>37</v>
      </c>
      <c r="F148" s="1" t="s">
        <v>38</v>
      </c>
      <c r="G148" s="1" t="s">
        <v>34</v>
      </c>
      <c r="H148" s="1">
        <v>1</v>
      </c>
      <c r="I148" s="1">
        <v>1</v>
      </c>
      <c r="J148" s="1">
        <v>0</v>
      </c>
      <c r="K148" s="1">
        <v>0</v>
      </c>
      <c r="L148" s="1">
        <v>0</v>
      </c>
      <c r="M148" s="1">
        <v>0</v>
      </c>
      <c r="N148" s="1">
        <f t="shared" si="2"/>
        <v>0</v>
      </c>
      <c r="O148" s="1">
        <v>0</v>
      </c>
      <c r="P148" s="1"/>
      <c r="Q148" s="1">
        <v>38.9</v>
      </c>
    </row>
    <row r="149" spans="1:17">
      <c r="A149" s="1" t="s">
        <v>192</v>
      </c>
      <c r="B149" s="4">
        <v>45802</v>
      </c>
      <c r="C149" s="1" t="s">
        <v>1</v>
      </c>
      <c r="D149" s="1" t="s">
        <v>45</v>
      </c>
      <c r="E149" s="1" t="s">
        <v>32</v>
      </c>
      <c r="F149" s="1" t="s">
        <v>38</v>
      </c>
      <c r="G149" s="1" t="s">
        <v>34</v>
      </c>
      <c r="H149" s="1">
        <v>1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f t="shared" si="2"/>
        <v>0</v>
      </c>
      <c r="O149" s="1">
        <v>0</v>
      </c>
      <c r="P149" s="1"/>
      <c r="Q149" s="1">
        <v>63.6</v>
      </c>
    </row>
    <row r="150" spans="1:17">
      <c r="A150" s="1" t="s">
        <v>193</v>
      </c>
      <c r="B150" s="4">
        <v>45685</v>
      </c>
      <c r="C150" s="1" t="s">
        <v>1</v>
      </c>
      <c r="D150" s="1" t="s">
        <v>31</v>
      </c>
      <c r="E150" s="1" t="s">
        <v>37</v>
      </c>
      <c r="F150" s="1" t="s">
        <v>38</v>
      </c>
      <c r="G150" s="1" t="s">
        <v>39</v>
      </c>
      <c r="H150" s="1">
        <v>1</v>
      </c>
      <c r="I150" s="1">
        <v>1</v>
      </c>
      <c r="J150" s="1">
        <v>1</v>
      </c>
      <c r="K150" s="1">
        <v>1</v>
      </c>
      <c r="L150" s="1">
        <v>577.94000000000005</v>
      </c>
      <c r="M150" s="1">
        <v>0</v>
      </c>
      <c r="N150" s="1">
        <f t="shared" si="2"/>
        <v>0</v>
      </c>
      <c r="O150" s="1">
        <v>0</v>
      </c>
      <c r="P150" s="1">
        <v>9</v>
      </c>
      <c r="Q150" s="1">
        <v>76.599999999999994</v>
      </c>
    </row>
    <row r="151" spans="1:17">
      <c r="A151" s="1" t="s">
        <v>194</v>
      </c>
      <c r="B151" s="4">
        <v>45700</v>
      </c>
      <c r="C151" s="1" t="s">
        <v>1</v>
      </c>
      <c r="D151" s="1" t="s">
        <v>36</v>
      </c>
      <c r="E151" s="1" t="s">
        <v>37</v>
      </c>
      <c r="F151" s="1" t="s">
        <v>42</v>
      </c>
      <c r="G151" s="1" t="s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1</v>
      </c>
      <c r="N151" s="1">
        <f t="shared" si="2"/>
        <v>1</v>
      </c>
      <c r="O151" s="1">
        <v>0</v>
      </c>
      <c r="P151" s="1"/>
      <c r="Q151" s="1">
        <v>67.599999999999994</v>
      </c>
    </row>
    <row r="152" spans="1:17">
      <c r="A152" s="1" t="s">
        <v>195</v>
      </c>
      <c r="B152" s="4">
        <v>45776</v>
      </c>
      <c r="C152" s="1" t="s">
        <v>1</v>
      </c>
      <c r="D152" s="1" t="s">
        <v>31</v>
      </c>
      <c r="E152" s="1" t="s">
        <v>37</v>
      </c>
      <c r="F152" s="1" t="s">
        <v>54</v>
      </c>
      <c r="G152" s="1" t="s">
        <v>43</v>
      </c>
      <c r="H152" s="1">
        <v>1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f t="shared" si="2"/>
        <v>0</v>
      </c>
      <c r="O152" s="1">
        <v>0</v>
      </c>
      <c r="P152" s="1"/>
      <c r="Q152" s="1">
        <v>43.1</v>
      </c>
    </row>
    <row r="153" spans="1:17">
      <c r="A153" s="1" t="s">
        <v>196</v>
      </c>
      <c r="B153" s="4">
        <v>45729</v>
      </c>
      <c r="C153" s="1" t="s">
        <v>1</v>
      </c>
      <c r="D153" s="1" t="s">
        <v>45</v>
      </c>
      <c r="E153" s="1" t="s">
        <v>37</v>
      </c>
      <c r="F153" s="1" t="s">
        <v>33</v>
      </c>
      <c r="G153" s="1" t="s">
        <v>39</v>
      </c>
      <c r="H153" s="1">
        <v>1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f t="shared" si="2"/>
        <v>0</v>
      </c>
      <c r="O153" s="1">
        <v>0</v>
      </c>
      <c r="P153" s="1"/>
      <c r="Q153" s="1">
        <v>58.3</v>
      </c>
    </row>
    <row r="154" spans="1:17">
      <c r="A154" s="1" t="s">
        <v>197</v>
      </c>
      <c r="B154" s="4">
        <v>45692</v>
      </c>
      <c r="C154" s="1" t="s">
        <v>1</v>
      </c>
      <c r="D154" s="1" t="s">
        <v>41</v>
      </c>
      <c r="E154" s="1" t="s">
        <v>32</v>
      </c>
      <c r="F154" s="1" t="s">
        <v>42</v>
      </c>
      <c r="G154" s="1" t="s">
        <v>39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f t="shared" si="2"/>
        <v>0</v>
      </c>
      <c r="O154" s="1">
        <v>0</v>
      </c>
      <c r="P154" s="1"/>
      <c r="Q154" s="1">
        <v>69.8</v>
      </c>
    </row>
    <row r="155" spans="1:17">
      <c r="A155" s="1" t="s">
        <v>198</v>
      </c>
      <c r="B155" s="4">
        <v>45720</v>
      </c>
      <c r="C155" s="1" t="s">
        <v>1</v>
      </c>
      <c r="D155" s="1" t="s">
        <v>45</v>
      </c>
      <c r="E155" s="1" t="s">
        <v>37</v>
      </c>
      <c r="F155" s="1" t="s">
        <v>52</v>
      </c>
      <c r="G155" s="1" t="s">
        <v>39</v>
      </c>
      <c r="H155" s="1">
        <v>1</v>
      </c>
      <c r="I155" s="1">
        <v>1</v>
      </c>
      <c r="J155" s="1">
        <v>0</v>
      </c>
      <c r="K155" s="1">
        <v>0</v>
      </c>
      <c r="L155" s="1">
        <v>0</v>
      </c>
      <c r="M155" s="1">
        <v>0</v>
      </c>
      <c r="N155" s="1">
        <f t="shared" si="2"/>
        <v>0</v>
      </c>
      <c r="O155" s="1">
        <v>0</v>
      </c>
      <c r="P155" s="1"/>
      <c r="Q155" s="1"/>
    </row>
    <row r="156" spans="1:17">
      <c r="A156" s="1" t="s">
        <v>199</v>
      </c>
      <c r="B156" s="4">
        <v>45692</v>
      </c>
      <c r="C156" s="1" t="s">
        <v>1</v>
      </c>
      <c r="D156" s="1" t="s">
        <v>36</v>
      </c>
      <c r="E156" s="1" t="s">
        <v>37</v>
      </c>
      <c r="F156" s="1" t="s">
        <v>42</v>
      </c>
      <c r="G156" s="1" t="s">
        <v>34</v>
      </c>
      <c r="H156" s="1">
        <v>1</v>
      </c>
      <c r="I156" s="1">
        <v>1</v>
      </c>
      <c r="J156" s="1">
        <v>0</v>
      </c>
      <c r="K156" s="1">
        <v>0</v>
      </c>
      <c r="L156" s="1">
        <v>0</v>
      </c>
      <c r="M156" s="1">
        <v>0</v>
      </c>
      <c r="N156" s="1">
        <f t="shared" si="2"/>
        <v>0</v>
      </c>
      <c r="O156" s="1">
        <v>0</v>
      </c>
      <c r="P156" s="1"/>
      <c r="Q156" s="1">
        <v>41.9</v>
      </c>
    </row>
    <row r="157" spans="1:17">
      <c r="A157" s="1" t="s">
        <v>200</v>
      </c>
      <c r="B157" s="4">
        <v>45727</v>
      </c>
      <c r="C157" s="1" t="s">
        <v>1</v>
      </c>
      <c r="D157" s="1" t="s">
        <v>31</v>
      </c>
      <c r="E157" s="1" t="s">
        <v>32</v>
      </c>
      <c r="F157" s="1" t="s">
        <v>38</v>
      </c>
      <c r="G157" s="1" t="s">
        <v>39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f t="shared" si="2"/>
        <v>0</v>
      </c>
      <c r="O157" s="1">
        <v>0</v>
      </c>
      <c r="P157" s="1"/>
      <c r="Q157" s="1">
        <v>33.1</v>
      </c>
    </row>
    <row r="158" spans="1:17">
      <c r="A158" s="1" t="s">
        <v>201</v>
      </c>
      <c r="B158" s="4">
        <v>45769</v>
      </c>
      <c r="C158" s="1" t="s">
        <v>1</v>
      </c>
      <c r="D158" s="1" t="s">
        <v>36</v>
      </c>
      <c r="E158" s="1" t="s">
        <v>37</v>
      </c>
      <c r="F158" s="1" t="s">
        <v>38</v>
      </c>
      <c r="G158" s="1" t="s">
        <v>39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f t="shared" si="2"/>
        <v>0</v>
      </c>
      <c r="O158" s="1">
        <v>0</v>
      </c>
      <c r="P158" s="1"/>
      <c r="Q158" s="1">
        <v>58.6</v>
      </c>
    </row>
    <row r="159" spans="1:17">
      <c r="A159" s="1" t="s">
        <v>202</v>
      </c>
      <c r="B159" s="4">
        <v>45724</v>
      </c>
      <c r="C159" s="1" t="s">
        <v>1</v>
      </c>
      <c r="D159" s="1" t="s">
        <v>31</v>
      </c>
      <c r="E159" s="1" t="s">
        <v>32</v>
      </c>
      <c r="F159" s="1" t="s">
        <v>42</v>
      </c>
      <c r="G159" s="1" t="s">
        <v>39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f t="shared" si="2"/>
        <v>0</v>
      </c>
      <c r="O159" s="1">
        <v>0</v>
      </c>
      <c r="P159" s="1"/>
      <c r="Q159" s="1">
        <v>55.7</v>
      </c>
    </row>
    <row r="160" spans="1:17">
      <c r="A160" s="1" t="s">
        <v>203</v>
      </c>
      <c r="B160" s="4">
        <v>45726</v>
      </c>
      <c r="C160" s="1" t="s">
        <v>1</v>
      </c>
      <c r="D160" s="1" t="s">
        <v>41</v>
      </c>
      <c r="E160" s="1" t="s">
        <v>37</v>
      </c>
      <c r="F160" s="1" t="s">
        <v>38</v>
      </c>
      <c r="G160" s="1" t="s">
        <v>39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2</v>
      </c>
      <c r="N160" s="1">
        <f t="shared" si="2"/>
        <v>1</v>
      </c>
      <c r="O160" s="1">
        <v>0</v>
      </c>
      <c r="P160" s="1"/>
      <c r="Q160" s="1">
        <v>64.900000000000006</v>
      </c>
    </row>
    <row r="161" spans="1:17">
      <c r="A161" s="1" t="s">
        <v>204</v>
      </c>
      <c r="B161" s="4">
        <v>45795</v>
      </c>
      <c r="C161" s="1" t="s">
        <v>1</v>
      </c>
      <c r="D161" s="1" t="s">
        <v>31</v>
      </c>
      <c r="E161" s="1" t="s">
        <v>32</v>
      </c>
      <c r="F161" s="1" t="s">
        <v>42</v>
      </c>
      <c r="G161" s="1" t="s">
        <v>34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f t="shared" si="2"/>
        <v>0</v>
      </c>
      <c r="O161" s="1">
        <v>0</v>
      </c>
      <c r="P161" s="1"/>
      <c r="Q161" s="1">
        <v>72.3</v>
      </c>
    </row>
    <row r="162" spans="1:17">
      <c r="A162" s="1" t="s">
        <v>205</v>
      </c>
      <c r="B162" s="4">
        <v>45791</v>
      </c>
      <c r="C162" s="1" t="s">
        <v>1</v>
      </c>
      <c r="D162" s="1" t="s">
        <v>31</v>
      </c>
      <c r="E162" s="1" t="s">
        <v>37</v>
      </c>
      <c r="F162" s="1" t="s">
        <v>54</v>
      </c>
      <c r="G162" s="1" t="s">
        <v>34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f t="shared" si="2"/>
        <v>0</v>
      </c>
      <c r="O162" s="1">
        <v>0</v>
      </c>
      <c r="P162" s="1"/>
      <c r="Q162" s="1">
        <v>42.1</v>
      </c>
    </row>
    <row r="163" spans="1:17">
      <c r="A163" s="1" t="s">
        <v>206</v>
      </c>
      <c r="B163" s="4">
        <v>45689</v>
      </c>
      <c r="C163" s="1" t="s">
        <v>1</v>
      </c>
      <c r="D163" s="1" t="s">
        <v>31</v>
      </c>
      <c r="E163" s="1" t="s">
        <v>37</v>
      </c>
      <c r="F163" s="1" t="s">
        <v>38</v>
      </c>
      <c r="G163" s="1" t="s">
        <v>39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f t="shared" si="2"/>
        <v>0</v>
      </c>
      <c r="O163" s="1">
        <v>0</v>
      </c>
      <c r="P163" s="1"/>
      <c r="Q163" s="1"/>
    </row>
    <row r="164" spans="1:17">
      <c r="A164" s="1" t="s">
        <v>207</v>
      </c>
      <c r="B164" s="4">
        <v>45758</v>
      </c>
      <c r="C164" s="1" t="s">
        <v>1</v>
      </c>
      <c r="D164" s="1" t="s">
        <v>45</v>
      </c>
      <c r="E164" s="1" t="s">
        <v>37</v>
      </c>
      <c r="F164" s="1" t="s">
        <v>38</v>
      </c>
      <c r="G164" s="1" t="s">
        <v>34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1</v>
      </c>
      <c r="N164" s="1">
        <f t="shared" si="2"/>
        <v>1</v>
      </c>
      <c r="O164" s="1">
        <v>0</v>
      </c>
      <c r="P164" s="1"/>
      <c r="Q164" s="1">
        <v>64.8</v>
      </c>
    </row>
    <row r="165" spans="1:17">
      <c r="A165" s="1" t="s">
        <v>208</v>
      </c>
      <c r="B165" s="4">
        <v>45702</v>
      </c>
      <c r="C165" s="1" t="s">
        <v>1</v>
      </c>
      <c r="D165" s="1" t="s">
        <v>41</v>
      </c>
      <c r="E165" s="1" t="s">
        <v>37</v>
      </c>
      <c r="F165" s="1" t="s">
        <v>38</v>
      </c>
      <c r="G165" s="1" t="s">
        <v>39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f t="shared" si="2"/>
        <v>0</v>
      </c>
      <c r="O165" s="1">
        <v>0</v>
      </c>
      <c r="P165" s="1"/>
      <c r="Q165" s="1">
        <v>72.099999999999994</v>
      </c>
    </row>
    <row r="166" spans="1:17">
      <c r="A166" s="1" t="s">
        <v>209</v>
      </c>
      <c r="B166" s="4">
        <v>45796</v>
      </c>
      <c r="C166" s="1" t="s">
        <v>1</v>
      </c>
      <c r="D166" s="1" t="s">
        <v>41</v>
      </c>
      <c r="E166" s="1" t="s">
        <v>37</v>
      </c>
      <c r="F166" s="1" t="s">
        <v>54</v>
      </c>
      <c r="G166" s="1" t="s">
        <v>39</v>
      </c>
      <c r="H166" s="1">
        <v>1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f t="shared" si="2"/>
        <v>0</v>
      </c>
      <c r="O166" s="1">
        <v>0</v>
      </c>
      <c r="P166" s="1"/>
      <c r="Q166" s="1">
        <v>50.6</v>
      </c>
    </row>
    <row r="167" spans="1:17">
      <c r="A167" s="1" t="s">
        <v>210</v>
      </c>
      <c r="B167" s="4">
        <v>45773</v>
      </c>
      <c r="C167" s="1" t="s">
        <v>1</v>
      </c>
      <c r="D167" s="1" t="s">
        <v>31</v>
      </c>
      <c r="E167" s="1" t="s">
        <v>32</v>
      </c>
      <c r="F167" s="1" t="s">
        <v>42</v>
      </c>
      <c r="G167" s="1" t="s">
        <v>34</v>
      </c>
      <c r="H167" s="1">
        <v>1</v>
      </c>
      <c r="I167" s="1">
        <v>1</v>
      </c>
      <c r="J167" s="1">
        <v>1</v>
      </c>
      <c r="K167" s="1">
        <v>1</v>
      </c>
      <c r="L167" s="1">
        <v>1281.25</v>
      </c>
      <c r="M167" s="1">
        <v>1</v>
      </c>
      <c r="N167" s="1">
        <f t="shared" si="2"/>
        <v>1</v>
      </c>
      <c r="O167" s="1">
        <v>0</v>
      </c>
      <c r="P167" s="1">
        <v>9</v>
      </c>
      <c r="Q167" s="1">
        <v>43.4</v>
      </c>
    </row>
    <row r="168" spans="1:17">
      <c r="A168" s="1" t="s">
        <v>211</v>
      </c>
      <c r="B168" s="4">
        <v>45753</v>
      </c>
      <c r="C168" s="1" t="s">
        <v>1</v>
      </c>
      <c r="D168" s="1" t="s">
        <v>45</v>
      </c>
      <c r="E168" s="1" t="s">
        <v>37</v>
      </c>
      <c r="F168" s="1" t="s">
        <v>54</v>
      </c>
      <c r="G168" s="1" t="s">
        <v>39</v>
      </c>
      <c r="H168" s="1">
        <v>1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f t="shared" si="2"/>
        <v>0</v>
      </c>
      <c r="O168" s="1">
        <v>0</v>
      </c>
      <c r="P168" s="1"/>
      <c r="Q168" s="1">
        <v>59.7</v>
      </c>
    </row>
    <row r="169" spans="1:17">
      <c r="A169" s="1" t="s">
        <v>212</v>
      </c>
      <c r="B169" s="4">
        <v>45722</v>
      </c>
      <c r="C169" s="1" t="s">
        <v>1</v>
      </c>
      <c r="D169" s="1" t="s">
        <v>45</v>
      </c>
      <c r="E169" s="1" t="s">
        <v>37</v>
      </c>
      <c r="F169" s="1" t="s">
        <v>42</v>
      </c>
      <c r="G169" s="1" t="s">
        <v>39</v>
      </c>
      <c r="H169" s="1">
        <v>1</v>
      </c>
      <c r="I169" s="1">
        <v>0</v>
      </c>
      <c r="J169" s="1">
        <v>0</v>
      </c>
      <c r="K169" s="1">
        <v>0</v>
      </c>
      <c r="L169" s="1">
        <v>0</v>
      </c>
      <c r="M169" s="1">
        <v>1</v>
      </c>
      <c r="N169" s="1">
        <f t="shared" si="2"/>
        <v>1</v>
      </c>
      <c r="O169" s="1">
        <v>0</v>
      </c>
      <c r="P169" s="1"/>
      <c r="Q169" s="1"/>
    </row>
    <row r="170" spans="1:17">
      <c r="A170" s="1" t="s">
        <v>213</v>
      </c>
      <c r="B170" s="4">
        <v>45726</v>
      </c>
      <c r="C170" s="1" t="s">
        <v>1</v>
      </c>
      <c r="D170" s="1" t="s">
        <v>36</v>
      </c>
      <c r="E170" s="1" t="s">
        <v>37</v>
      </c>
      <c r="F170" s="1" t="s">
        <v>54</v>
      </c>
      <c r="G170" s="1" t="s">
        <v>34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f t="shared" si="2"/>
        <v>0</v>
      </c>
      <c r="O170" s="1">
        <v>0</v>
      </c>
      <c r="P170" s="1"/>
      <c r="Q170" s="1">
        <v>54.5</v>
      </c>
    </row>
    <row r="171" spans="1:17">
      <c r="A171" s="1" t="s">
        <v>214</v>
      </c>
      <c r="B171" s="4">
        <v>45746</v>
      </c>
      <c r="C171" s="1" t="s">
        <v>1</v>
      </c>
      <c r="D171" s="1" t="s">
        <v>31</v>
      </c>
      <c r="E171" s="1" t="s">
        <v>37</v>
      </c>
      <c r="F171" s="1" t="s">
        <v>38</v>
      </c>
      <c r="G171" s="1" t="s">
        <v>39</v>
      </c>
      <c r="H171" s="1">
        <v>1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f t="shared" si="2"/>
        <v>0</v>
      </c>
      <c r="O171" s="1">
        <v>0</v>
      </c>
      <c r="P171" s="1"/>
      <c r="Q171" s="1">
        <v>71.099999999999994</v>
      </c>
    </row>
    <row r="172" spans="1:17">
      <c r="A172" s="1" t="s">
        <v>215</v>
      </c>
      <c r="B172" s="4">
        <v>45806</v>
      </c>
      <c r="C172" s="1" t="s">
        <v>1</v>
      </c>
      <c r="D172" s="1" t="s">
        <v>41</v>
      </c>
      <c r="E172" s="1"/>
      <c r="F172" s="1" t="s">
        <v>42</v>
      </c>
      <c r="G172" s="1" t="s">
        <v>39</v>
      </c>
      <c r="H172" s="1">
        <v>1</v>
      </c>
      <c r="I172" s="1">
        <v>1</v>
      </c>
      <c r="J172" s="1">
        <v>1</v>
      </c>
      <c r="K172" s="1">
        <v>0</v>
      </c>
      <c r="L172" s="1">
        <v>0</v>
      </c>
      <c r="M172" s="1">
        <v>0</v>
      </c>
      <c r="N172" s="1">
        <f t="shared" si="2"/>
        <v>0</v>
      </c>
      <c r="O172" s="1">
        <v>0</v>
      </c>
      <c r="P172" s="1"/>
      <c r="Q172" s="1">
        <v>44.4</v>
      </c>
    </row>
    <row r="173" spans="1:17">
      <c r="A173" s="1" t="s">
        <v>216</v>
      </c>
      <c r="B173" s="4">
        <v>45739</v>
      </c>
      <c r="C173" s="1" t="s">
        <v>1</v>
      </c>
      <c r="D173" s="1" t="s">
        <v>31</v>
      </c>
      <c r="E173" s="1" t="s">
        <v>37</v>
      </c>
      <c r="F173" s="1" t="s">
        <v>38</v>
      </c>
      <c r="G173" s="1" t="s">
        <v>39</v>
      </c>
      <c r="H173" s="1">
        <v>1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f t="shared" si="2"/>
        <v>0</v>
      </c>
      <c r="O173" s="1">
        <v>0</v>
      </c>
      <c r="P173" s="1"/>
      <c r="Q173" s="1">
        <v>61.7</v>
      </c>
    </row>
    <row r="174" spans="1:17">
      <c r="A174" s="1" t="s">
        <v>217</v>
      </c>
      <c r="B174" s="4">
        <v>45706</v>
      </c>
      <c r="C174" s="1" t="s">
        <v>1</v>
      </c>
      <c r="D174" s="1" t="s">
        <v>31</v>
      </c>
      <c r="E174" s="1" t="s">
        <v>47</v>
      </c>
      <c r="F174" s="1" t="s">
        <v>38</v>
      </c>
      <c r="G174" s="1" t="s">
        <v>34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1</v>
      </c>
      <c r="N174" s="1">
        <f t="shared" si="2"/>
        <v>1</v>
      </c>
      <c r="O174" s="1">
        <v>0</v>
      </c>
      <c r="P174" s="1"/>
      <c r="Q174" s="1">
        <v>81.3</v>
      </c>
    </row>
    <row r="175" spans="1:17">
      <c r="A175" s="1" t="s">
        <v>218</v>
      </c>
      <c r="B175" s="4">
        <v>45683</v>
      </c>
      <c r="C175" s="1" t="s">
        <v>1</v>
      </c>
      <c r="D175" s="1" t="s">
        <v>31</v>
      </c>
      <c r="E175" s="1" t="s">
        <v>32</v>
      </c>
      <c r="F175" s="1" t="s">
        <v>33</v>
      </c>
      <c r="G175" s="1" t="s">
        <v>39</v>
      </c>
      <c r="H175" s="1">
        <v>1</v>
      </c>
      <c r="I175" s="1">
        <v>0</v>
      </c>
      <c r="J175" s="1">
        <v>0</v>
      </c>
      <c r="K175" s="1">
        <v>0</v>
      </c>
      <c r="L175" s="1">
        <v>0</v>
      </c>
      <c r="M175" s="1">
        <v>2</v>
      </c>
      <c r="N175" s="1">
        <f t="shared" si="2"/>
        <v>1</v>
      </c>
      <c r="O175" s="1">
        <v>0</v>
      </c>
      <c r="P175" s="1"/>
      <c r="Q175" s="1">
        <v>28.7</v>
      </c>
    </row>
    <row r="176" spans="1:17">
      <c r="A176" s="1" t="s">
        <v>219</v>
      </c>
      <c r="B176" s="4">
        <v>45770</v>
      </c>
      <c r="C176" s="1" t="s">
        <v>1</v>
      </c>
      <c r="D176" s="1" t="s">
        <v>41</v>
      </c>
      <c r="E176" s="1" t="s">
        <v>37</v>
      </c>
      <c r="F176" s="1" t="s">
        <v>54</v>
      </c>
      <c r="G176" s="1" t="s">
        <v>34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f t="shared" si="2"/>
        <v>0</v>
      </c>
      <c r="O176" s="1">
        <v>0</v>
      </c>
      <c r="P176" s="1"/>
      <c r="Q176" s="1">
        <v>53</v>
      </c>
    </row>
    <row r="177" spans="1:17">
      <c r="A177" s="1" t="s">
        <v>220</v>
      </c>
      <c r="B177" s="4">
        <v>45732</v>
      </c>
      <c r="C177" s="1" t="s">
        <v>1</v>
      </c>
      <c r="D177" s="1" t="s">
        <v>45</v>
      </c>
      <c r="E177" s="1" t="s">
        <v>47</v>
      </c>
      <c r="F177" s="1" t="s">
        <v>52</v>
      </c>
      <c r="G177" s="1" t="s">
        <v>34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f t="shared" si="2"/>
        <v>0</v>
      </c>
      <c r="O177" s="1">
        <v>0</v>
      </c>
      <c r="P177" s="1"/>
      <c r="Q177" s="1">
        <v>54.9</v>
      </c>
    </row>
    <row r="178" spans="1:17">
      <c r="A178" s="1" t="s">
        <v>221</v>
      </c>
      <c r="B178" s="4">
        <v>45776</v>
      </c>
      <c r="C178" s="1" t="s">
        <v>1</v>
      </c>
      <c r="D178" s="1" t="s">
        <v>36</v>
      </c>
      <c r="E178" s="1" t="s">
        <v>37</v>
      </c>
      <c r="F178" s="1" t="s">
        <v>38</v>
      </c>
      <c r="G178" s="1" t="s">
        <v>34</v>
      </c>
      <c r="H178" s="1">
        <v>1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f t="shared" si="2"/>
        <v>0</v>
      </c>
      <c r="O178" s="1">
        <v>0</v>
      </c>
      <c r="P178" s="1"/>
      <c r="Q178" s="1">
        <v>58.2</v>
      </c>
    </row>
    <row r="179" spans="1:17">
      <c r="A179" s="1" t="s">
        <v>222</v>
      </c>
      <c r="B179" s="4">
        <v>45753</v>
      </c>
      <c r="C179" s="1" t="s">
        <v>1</v>
      </c>
      <c r="D179" s="1" t="s">
        <v>31</v>
      </c>
      <c r="E179" s="1" t="s">
        <v>37</v>
      </c>
      <c r="F179" s="1" t="s">
        <v>38</v>
      </c>
      <c r="G179" s="1" t="s">
        <v>39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f t="shared" si="2"/>
        <v>0</v>
      </c>
      <c r="O179" s="1">
        <v>0</v>
      </c>
      <c r="P179" s="1"/>
      <c r="Q179" s="1">
        <v>80.599999999999994</v>
      </c>
    </row>
    <row r="180" spans="1:17">
      <c r="A180" s="1" t="s">
        <v>223</v>
      </c>
      <c r="B180" s="4">
        <v>45764</v>
      </c>
      <c r="C180" s="1" t="s">
        <v>1</v>
      </c>
      <c r="D180" s="1" t="s">
        <v>31</v>
      </c>
      <c r="E180" s="1" t="s">
        <v>32</v>
      </c>
      <c r="F180" s="1" t="s">
        <v>52</v>
      </c>
      <c r="G180" s="1" t="s">
        <v>43</v>
      </c>
      <c r="H180" s="1">
        <v>1</v>
      </c>
      <c r="I180" s="1">
        <v>1</v>
      </c>
      <c r="J180" s="1">
        <v>1</v>
      </c>
      <c r="K180" s="1">
        <v>0</v>
      </c>
      <c r="L180" s="1">
        <v>0</v>
      </c>
      <c r="M180" s="1">
        <v>0</v>
      </c>
      <c r="N180" s="1">
        <f t="shared" si="2"/>
        <v>0</v>
      </c>
      <c r="O180" s="1">
        <v>0</v>
      </c>
      <c r="P180" s="1"/>
      <c r="Q180" s="1">
        <v>38.4</v>
      </c>
    </row>
    <row r="181" spans="1:17">
      <c r="A181" s="1" t="s">
        <v>224</v>
      </c>
      <c r="B181" s="4">
        <v>45750</v>
      </c>
      <c r="C181" s="1" t="s">
        <v>1</v>
      </c>
      <c r="D181" s="1" t="s">
        <v>45</v>
      </c>
      <c r="E181" s="1" t="s">
        <v>37</v>
      </c>
      <c r="F181" s="1" t="s">
        <v>42</v>
      </c>
      <c r="G181" s="1" t="s">
        <v>39</v>
      </c>
      <c r="H181" s="1">
        <v>1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f t="shared" si="2"/>
        <v>0</v>
      </c>
      <c r="O181" s="1">
        <v>0</v>
      </c>
      <c r="P181" s="1"/>
      <c r="Q181" s="1">
        <v>56.1</v>
      </c>
    </row>
    <row r="182" spans="1:17">
      <c r="A182" s="1" t="s">
        <v>225</v>
      </c>
      <c r="B182" s="4">
        <v>45772</v>
      </c>
      <c r="C182" s="1" t="s">
        <v>1</v>
      </c>
      <c r="D182" s="1" t="s">
        <v>36</v>
      </c>
      <c r="E182" s="1" t="s">
        <v>37</v>
      </c>
      <c r="F182" s="1" t="s">
        <v>42</v>
      </c>
      <c r="G182" s="1" t="s">
        <v>39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f t="shared" si="2"/>
        <v>0</v>
      </c>
      <c r="O182" s="1">
        <v>0</v>
      </c>
      <c r="P182" s="1"/>
      <c r="Q182" s="1">
        <v>62.6</v>
      </c>
    </row>
    <row r="183" spans="1:17">
      <c r="A183" s="1" t="s">
        <v>226</v>
      </c>
      <c r="B183" s="4">
        <v>45777</v>
      </c>
      <c r="C183" s="1" t="s">
        <v>1</v>
      </c>
      <c r="D183" s="1" t="s">
        <v>45</v>
      </c>
      <c r="E183" s="1" t="s">
        <v>37</v>
      </c>
      <c r="F183" s="1" t="s">
        <v>38</v>
      </c>
      <c r="G183" s="1" t="s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f t="shared" si="2"/>
        <v>0</v>
      </c>
      <c r="O183" s="1">
        <v>0</v>
      </c>
      <c r="P183" s="1"/>
      <c r="Q183" s="1">
        <v>36.299999999999997</v>
      </c>
    </row>
    <row r="184" spans="1:17">
      <c r="A184" s="1" t="s">
        <v>227</v>
      </c>
      <c r="B184" s="4">
        <v>45728</v>
      </c>
      <c r="C184" s="1" t="s">
        <v>1</v>
      </c>
      <c r="D184" s="1" t="s">
        <v>45</v>
      </c>
      <c r="E184" s="1" t="s">
        <v>37</v>
      </c>
      <c r="F184" s="1" t="s">
        <v>42</v>
      </c>
      <c r="G184" s="1" t="s">
        <v>39</v>
      </c>
      <c r="H184" s="1">
        <v>1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f t="shared" si="2"/>
        <v>0</v>
      </c>
      <c r="O184" s="1">
        <v>0</v>
      </c>
      <c r="P184" s="1"/>
      <c r="Q184" s="1">
        <v>52.1</v>
      </c>
    </row>
    <row r="185" spans="1:17">
      <c r="A185" s="1" t="s">
        <v>228</v>
      </c>
      <c r="B185" s="4">
        <v>45781</v>
      </c>
      <c r="C185" s="1" t="s">
        <v>1</v>
      </c>
      <c r="D185" s="1" t="s">
        <v>45</v>
      </c>
      <c r="E185" s="1" t="s">
        <v>37</v>
      </c>
      <c r="F185" s="1" t="s">
        <v>38</v>
      </c>
      <c r="G185" s="1" t="s">
        <v>39</v>
      </c>
      <c r="H185" s="1">
        <v>1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f t="shared" si="2"/>
        <v>0</v>
      </c>
      <c r="O185" s="1">
        <v>0</v>
      </c>
      <c r="P185" s="1"/>
      <c r="Q185" s="1">
        <v>45.1</v>
      </c>
    </row>
    <row r="186" spans="1:17">
      <c r="A186" s="1" t="s">
        <v>229</v>
      </c>
      <c r="B186" s="4">
        <v>45695</v>
      </c>
      <c r="C186" s="1" t="s">
        <v>1</v>
      </c>
      <c r="D186" s="1" t="s">
        <v>45</v>
      </c>
      <c r="E186" s="1" t="s">
        <v>47</v>
      </c>
      <c r="F186" s="1" t="s">
        <v>42</v>
      </c>
      <c r="G186" s="1" t="s">
        <v>43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f t="shared" si="2"/>
        <v>0</v>
      </c>
      <c r="O186" s="1">
        <v>0</v>
      </c>
      <c r="P186" s="1"/>
      <c r="Q186" s="1">
        <v>67.5</v>
      </c>
    </row>
    <row r="187" spans="1:17">
      <c r="A187" s="1" t="s">
        <v>230</v>
      </c>
      <c r="B187" s="4">
        <v>45775</v>
      </c>
      <c r="C187" s="1" t="s">
        <v>1</v>
      </c>
      <c r="D187" s="1" t="s">
        <v>41</v>
      </c>
      <c r="E187" s="1" t="s">
        <v>47</v>
      </c>
      <c r="F187" s="1" t="s">
        <v>33</v>
      </c>
      <c r="G187" s="1" t="s">
        <v>34</v>
      </c>
      <c r="H187" s="1">
        <v>1</v>
      </c>
      <c r="I187" s="1">
        <v>1</v>
      </c>
      <c r="J187" s="1">
        <v>1</v>
      </c>
      <c r="K187" s="1">
        <v>0</v>
      </c>
      <c r="L187" s="1">
        <v>0</v>
      </c>
      <c r="M187" s="1">
        <v>0</v>
      </c>
      <c r="N187" s="1">
        <f t="shared" si="2"/>
        <v>0</v>
      </c>
      <c r="O187" s="1">
        <v>0</v>
      </c>
      <c r="P187" s="1"/>
      <c r="Q187" s="1">
        <v>80</v>
      </c>
    </row>
    <row r="188" spans="1:17">
      <c r="A188" s="1" t="s">
        <v>231</v>
      </c>
      <c r="B188" s="4">
        <v>45792</v>
      </c>
      <c r="C188" s="1" t="s">
        <v>1</v>
      </c>
      <c r="D188" s="1" t="s">
        <v>41</v>
      </c>
      <c r="E188" s="1" t="s">
        <v>32</v>
      </c>
      <c r="F188" s="1" t="s">
        <v>52</v>
      </c>
      <c r="G188" s="1" t="s">
        <v>39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f t="shared" si="2"/>
        <v>0</v>
      </c>
      <c r="O188" s="1">
        <v>0</v>
      </c>
      <c r="P188" s="1"/>
      <c r="Q188" s="1">
        <v>56.4</v>
      </c>
    </row>
    <row r="189" spans="1:17">
      <c r="A189" s="1" t="s">
        <v>232</v>
      </c>
      <c r="B189" s="4">
        <v>45675</v>
      </c>
      <c r="C189" s="1" t="s">
        <v>1</v>
      </c>
      <c r="D189" s="1" t="s">
        <v>36</v>
      </c>
      <c r="E189" s="1" t="s">
        <v>37</v>
      </c>
      <c r="F189" s="1" t="s">
        <v>42</v>
      </c>
      <c r="G189" s="1" t="s">
        <v>34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f t="shared" si="2"/>
        <v>0</v>
      </c>
      <c r="O189" s="1">
        <v>0</v>
      </c>
      <c r="P189" s="1"/>
      <c r="Q189" s="1">
        <v>55.4</v>
      </c>
    </row>
    <row r="190" spans="1:17">
      <c r="A190" s="1" t="s">
        <v>233</v>
      </c>
      <c r="B190" s="4">
        <v>45703</v>
      </c>
      <c r="C190" s="1" t="s">
        <v>1</v>
      </c>
      <c r="D190" s="1" t="s">
        <v>45</v>
      </c>
      <c r="E190" s="1" t="s">
        <v>37</v>
      </c>
      <c r="F190" s="1" t="s">
        <v>54</v>
      </c>
      <c r="G190" s="1" t="s">
        <v>34</v>
      </c>
      <c r="H190" s="1">
        <v>1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f t="shared" si="2"/>
        <v>0</v>
      </c>
      <c r="O190" s="1">
        <v>0</v>
      </c>
      <c r="P190" s="1"/>
      <c r="Q190" s="1">
        <v>67.900000000000006</v>
      </c>
    </row>
    <row r="191" spans="1:17">
      <c r="A191" s="1" t="s">
        <v>234</v>
      </c>
      <c r="B191" s="4">
        <v>45706</v>
      </c>
      <c r="C191" s="1" t="s">
        <v>1</v>
      </c>
      <c r="D191" s="1" t="s">
        <v>31</v>
      </c>
      <c r="E191" s="1" t="s">
        <v>47</v>
      </c>
      <c r="F191" s="1" t="s">
        <v>33</v>
      </c>
      <c r="G191" s="1" t="s">
        <v>39</v>
      </c>
      <c r="H191" s="1">
        <v>1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f t="shared" si="2"/>
        <v>0</v>
      </c>
      <c r="O191" s="1">
        <v>0</v>
      </c>
      <c r="P191" s="1"/>
      <c r="Q191" s="1">
        <v>62.5</v>
      </c>
    </row>
    <row r="192" spans="1:17">
      <c r="A192" s="1" t="s">
        <v>235</v>
      </c>
      <c r="B192" s="4">
        <v>45687</v>
      </c>
      <c r="C192" s="1" t="s">
        <v>1</v>
      </c>
      <c r="D192" s="1" t="s">
        <v>45</v>
      </c>
      <c r="E192" s="1" t="s">
        <v>32</v>
      </c>
      <c r="F192" s="1" t="s">
        <v>33</v>
      </c>
      <c r="G192" s="1" t="s">
        <v>34</v>
      </c>
      <c r="H192" s="1">
        <v>1</v>
      </c>
      <c r="I192" s="1">
        <v>1</v>
      </c>
      <c r="J192" s="1">
        <v>1</v>
      </c>
      <c r="K192" s="1">
        <v>0</v>
      </c>
      <c r="L192" s="1">
        <v>0</v>
      </c>
      <c r="M192" s="1">
        <v>0</v>
      </c>
      <c r="N192" s="1">
        <f t="shared" si="2"/>
        <v>0</v>
      </c>
      <c r="O192" s="1">
        <v>0</v>
      </c>
      <c r="P192" s="1"/>
      <c r="Q192" s="1">
        <v>54.3</v>
      </c>
    </row>
    <row r="193" spans="1:17">
      <c r="A193" s="1" t="s">
        <v>236</v>
      </c>
      <c r="B193" s="4">
        <v>45697</v>
      </c>
      <c r="C193" s="1" t="s">
        <v>1</v>
      </c>
      <c r="D193" s="1" t="s">
        <v>45</v>
      </c>
      <c r="E193" s="1" t="s">
        <v>32</v>
      </c>
      <c r="F193" s="1" t="s">
        <v>38</v>
      </c>
      <c r="G193" s="1" t="s">
        <v>34</v>
      </c>
      <c r="H193" s="1">
        <v>1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f t="shared" si="2"/>
        <v>0</v>
      </c>
      <c r="O193" s="1">
        <v>0</v>
      </c>
      <c r="P193" s="1"/>
      <c r="Q193" s="1">
        <v>37.5</v>
      </c>
    </row>
    <row r="194" spans="1:17">
      <c r="A194" s="1" t="s">
        <v>237</v>
      </c>
      <c r="B194" s="4">
        <v>45732</v>
      </c>
      <c r="C194" s="1" t="s">
        <v>1</v>
      </c>
      <c r="D194" s="1" t="s">
        <v>36</v>
      </c>
      <c r="E194" s="1" t="s">
        <v>37</v>
      </c>
      <c r="F194" s="1" t="s">
        <v>42</v>
      </c>
      <c r="G194" s="1" t="s">
        <v>34</v>
      </c>
      <c r="H194" s="1">
        <v>1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f t="shared" si="2"/>
        <v>0</v>
      </c>
      <c r="O194" s="1">
        <v>0</v>
      </c>
      <c r="P194" s="1"/>
      <c r="Q194" s="1">
        <v>52.6</v>
      </c>
    </row>
    <row r="195" spans="1:17">
      <c r="A195" s="1" t="s">
        <v>238</v>
      </c>
      <c r="B195" s="4">
        <v>45796</v>
      </c>
      <c r="C195" s="1" t="s">
        <v>1</v>
      </c>
      <c r="D195" s="1" t="s">
        <v>31</v>
      </c>
      <c r="E195" s="1" t="s">
        <v>37</v>
      </c>
      <c r="F195" s="1" t="s">
        <v>42</v>
      </c>
      <c r="G195" s="1" t="s">
        <v>39</v>
      </c>
      <c r="H195" s="1">
        <v>1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f t="shared" ref="N195:N258" si="3">IF(M195&gt;0,1,0)</f>
        <v>0</v>
      </c>
      <c r="O195" s="1">
        <v>0</v>
      </c>
      <c r="P195" s="1"/>
      <c r="Q195" s="1">
        <v>46.1</v>
      </c>
    </row>
    <row r="196" spans="1:17">
      <c r="A196" s="1" t="s">
        <v>239</v>
      </c>
      <c r="B196" s="4">
        <v>45793</v>
      </c>
      <c r="C196" s="1" t="s">
        <v>1</v>
      </c>
      <c r="D196" s="1" t="s">
        <v>45</v>
      </c>
      <c r="E196" s="1" t="s">
        <v>32</v>
      </c>
      <c r="F196" s="1" t="s">
        <v>38</v>
      </c>
      <c r="G196" s="1" t="s">
        <v>34</v>
      </c>
      <c r="H196" s="1">
        <v>1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f t="shared" si="3"/>
        <v>0</v>
      </c>
      <c r="O196" s="1">
        <v>0</v>
      </c>
      <c r="P196" s="1"/>
      <c r="Q196" s="1">
        <v>54.7</v>
      </c>
    </row>
    <row r="197" spans="1:17">
      <c r="A197" s="1" t="s">
        <v>240</v>
      </c>
      <c r="B197" s="4">
        <v>45772</v>
      </c>
      <c r="C197" s="1" t="s">
        <v>1</v>
      </c>
      <c r="D197" s="1" t="s">
        <v>36</v>
      </c>
      <c r="E197" s="1" t="s">
        <v>32</v>
      </c>
      <c r="F197" s="1" t="s">
        <v>52</v>
      </c>
      <c r="G197" s="1" t="s">
        <v>34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f t="shared" si="3"/>
        <v>0</v>
      </c>
      <c r="O197" s="1">
        <v>0</v>
      </c>
      <c r="P197" s="1"/>
      <c r="Q197" s="1">
        <v>74.2</v>
      </c>
    </row>
    <row r="198" spans="1:17">
      <c r="A198" s="1" t="s">
        <v>241</v>
      </c>
      <c r="B198" s="4">
        <v>45715</v>
      </c>
      <c r="C198" s="1" t="s">
        <v>1</v>
      </c>
      <c r="D198" s="1" t="s">
        <v>31</v>
      </c>
      <c r="E198" s="1" t="s">
        <v>37</v>
      </c>
      <c r="F198" s="1" t="s">
        <v>54</v>
      </c>
      <c r="G198" s="1" t="s">
        <v>34</v>
      </c>
      <c r="H198" s="1">
        <v>1</v>
      </c>
      <c r="I198" s="1">
        <v>1</v>
      </c>
      <c r="J198" s="1">
        <v>1</v>
      </c>
      <c r="K198" s="1">
        <v>1</v>
      </c>
      <c r="L198" s="1">
        <v>1052.8</v>
      </c>
      <c r="M198" s="1">
        <v>2</v>
      </c>
      <c r="N198" s="1">
        <f t="shared" si="3"/>
        <v>1</v>
      </c>
      <c r="O198" s="1">
        <v>0</v>
      </c>
      <c r="P198" s="1">
        <v>6</v>
      </c>
      <c r="Q198" s="1">
        <v>64.7</v>
      </c>
    </row>
    <row r="199" spans="1:17">
      <c r="A199" s="1" t="s">
        <v>242</v>
      </c>
      <c r="B199" s="4">
        <v>45773</v>
      </c>
      <c r="C199" s="1" t="s">
        <v>1</v>
      </c>
      <c r="D199" s="1" t="s">
        <v>45</v>
      </c>
      <c r="E199" s="1" t="s">
        <v>37</v>
      </c>
      <c r="F199" s="1" t="s">
        <v>42</v>
      </c>
      <c r="G199" s="1" t="s">
        <v>34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f t="shared" si="3"/>
        <v>0</v>
      </c>
      <c r="O199" s="1">
        <v>0</v>
      </c>
      <c r="P199" s="1"/>
      <c r="Q199" s="1">
        <v>65.900000000000006</v>
      </c>
    </row>
    <row r="200" spans="1:17">
      <c r="A200" s="1" t="s">
        <v>243</v>
      </c>
      <c r="B200" s="4">
        <v>45791</v>
      </c>
      <c r="C200" s="1" t="s">
        <v>1</v>
      </c>
      <c r="D200" s="1" t="s">
        <v>31</v>
      </c>
      <c r="E200" s="1" t="s">
        <v>37</v>
      </c>
      <c r="F200" s="1" t="s">
        <v>38</v>
      </c>
      <c r="G200" s="1" t="s">
        <v>34</v>
      </c>
      <c r="H200" s="1">
        <v>1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f t="shared" si="3"/>
        <v>0</v>
      </c>
      <c r="O200" s="1">
        <v>0</v>
      </c>
      <c r="P200" s="1"/>
      <c r="Q200" s="1">
        <v>64</v>
      </c>
    </row>
    <row r="201" spans="1:17">
      <c r="A201" s="1" t="s">
        <v>244</v>
      </c>
      <c r="B201" s="4">
        <v>45721</v>
      </c>
      <c r="C201" s="1" t="s">
        <v>1</v>
      </c>
      <c r="D201" s="1" t="s">
        <v>31</v>
      </c>
      <c r="E201" s="1" t="s">
        <v>37</v>
      </c>
      <c r="F201" s="1" t="s">
        <v>38</v>
      </c>
      <c r="G201" s="1" t="s">
        <v>43</v>
      </c>
      <c r="H201" s="1">
        <v>1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f t="shared" si="3"/>
        <v>0</v>
      </c>
      <c r="O201" s="1">
        <v>0</v>
      </c>
      <c r="P201" s="1"/>
      <c r="Q201" s="1">
        <v>57.2</v>
      </c>
    </row>
    <row r="202" spans="1:17">
      <c r="A202" s="1" t="s">
        <v>245</v>
      </c>
      <c r="B202" s="4">
        <v>45749</v>
      </c>
      <c r="C202" s="1" t="s">
        <v>1</v>
      </c>
      <c r="D202" s="1" t="s">
        <v>36</v>
      </c>
      <c r="E202" s="1" t="s">
        <v>32</v>
      </c>
      <c r="F202" s="1" t="s">
        <v>38</v>
      </c>
      <c r="G202" s="1" t="s">
        <v>39</v>
      </c>
      <c r="H202" s="1">
        <v>1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f t="shared" si="3"/>
        <v>0</v>
      </c>
      <c r="O202" s="1">
        <v>0</v>
      </c>
      <c r="P202" s="1"/>
      <c r="Q202" s="1">
        <v>80.5</v>
      </c>
    </row>
    <row r="203" spans="1:17">
      <c r="A203" s="1" t="s">
        <v>246</v>
      </c>
      <c r="B203" s="4">
        <v>45791</v>
      </c>
      <c r="C203" s="1" t="s">
        <v>1</v>
      </c>
      <c r="D203" s="1" t="s">
        <v>45</v>
      </c>
      <c r="E203" s="1" t="s">
        <v>47</v>
      </c>
      <c r="F203" s="1" t="s">
        <v>38</v>
      </c>
      <c r="G203" s="1" t="s">
        <v>39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f t="shared" si="3"/>
        <v>0</v>
      </c>
      <c r="O203" s="1">
        <v>0</v>
      </c>
      <c r="P203" s="1"/>
      <c r="Q203" s="1">
        <v>53.9</v>
      </c>
    </row>
    <row r="204" spans="1:17">
      <c r="A204" s="1" t="s">
        <v>247</v>
      </c>
      <c r="B204" s="4">
        <v>45798</v>
      </c>
      <c r="C204" s="1" t="s">
        <v>1</v>
      </c>
      <c r="D204" s="1" t="s">
        <v>31</v>
      </c>
      <c r="E204" s="1" t="s">
        <v>37</v>
      </c>
      <c r="F204" s="1" t="s">
        <v>42</v>
      </c>
      <c r="G204" s="1" t="s">
        <v>39</v>
      </c>
      <c r="H204" s="1">
        <v>1</v>
      </c>
      <c r="I204" s="1">
        <v>1</v>
      </c>
      <c r="J204" s="1">
        <v>0</v>
      </c>
      <c r="K204" s="1">
        <v>0</v>
      </c>
      <c r="L204" s="1">
        <v>0</v>
      </c>
      <c r="M204" s="1">
        <v>0</v>
      </c>
      <c r="N204" s="1">
        <f t="shared" si="3"/>
        <v>0</v>
      </c>
      <c r="O204" s="1">
        <v>0</v>
      </c>
      <c r="P204" s="1"/>
      <c r="Q204" s="1">
        <v>77.5</v>
      </c>
    </row>
    <row r="205" spans="1:17">
      <c r="A205" s="1" t="s">
        <v>248</v>
      </c>
      <c r="B205" s="4">
        <v>45684</v>
      </c>
      <c r="C205" s="1" t="s">
        <v>1</v>
      </c>
      <c r="D205" s="1" t="s">
        <v>41</v>
      </c>
      <c r="E205" s="1" t="s">
        <v>37</v>
      </c>
      <c r="F205" s="1" t="s">
        <v>54</v>
      </c>
      <c r="G205" s="1" t="s">
        <v>34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f t="shared" si="3"/>
        <v>0</v>
      </c>
      <c r="O205" s="1">
        <v>0</v>
      </c>
      <c r="P205" s="1"/>
      <c r="Q205" s="1">
        <v>84.2</v>
      </c>
    </row>
    <row r="206" spans="1:17">
      <c r="A206" s="1" t="s">
        <v>249</v>
      </c>
      <c r="B206" s="4">
        <v>45799</v>
      </c>
      <c r="C206" s="1" t="s">
        <v>1</v>
      </c>
      <c r="D206" s="1" t="s">
        <v>36</v>
      </c>
      <c r="E206" s="1" t="s">
        <v>32</v>
      </c>
      <c r="F206" s="1" t="s">
        <v>38</v>
      </c>
      <c r="G206" s="1" t="s">
        <v>39</v>
      </c>
      <c r="H206" s="1">
        <v>1</v>
      </c>
      <c r="I206" s="1">
        <v>1</v>
      </c>
      <c r="J206" s="1">
        <v>0</v>
      </c>
      <c r="K206" s="1">
        <v>0</v>
      </c>
      <c r="L206" s="1">
        <v>0</v>
      </c>
      <c r="M206" s="1">
        <v>0</v>
      </c>
      <c r="N206" s="1">
        <f t="shared" si="3"/>
        <v>0</v>
      </c>
      <c r="O206" s="1">
        <v>0</v>
      </c>
      <c r="P206" s="1"/>
      <c r="Q206" s="1">
        <v>54.9</v>
      </c>
    </row>
    <row r="207" spans="1:17">
      <c r="A207" s="1" t="s">
        <v>250</v>
      </c>
      <c r="B207" s="4">
        <v>45796</v>
      </c>
      <c r="C207" s="1" t="s">
        <v>1</v>
      </c>
      <c r="D207" s="1" t="s">
        <v>45</v>
      </c>
      <c r="E207" s="1" t="s">
        <v>37</v>
      </c>
      <c r="F207" s="1" t="s">
        <v>42</v>
      </c>
      <c r="G207" s="1" t="s">
        <v>39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f t="shared" si="3"/>
        <v>0</v>
      </c>
      <c r="O207" s="1">
        <v>0</v>
      </c>
      <c r="P207" s="1"/>
      <c r="Q207" s="1">
        <v>69.3</v>
      </c>
    </row>
    <row r="208" spans="1:17">
      <c r="A208" s="1" t="s">
        <v>251</v>
      </c>
      <c r="B208" s="4">
        <v>45671</v>
      </c>
      <c r="C208" s="1" t="s">
        <v>1</v>
      </c>
      <c r="D208" s="1" t="s">
        <v>45</v>
      </c>
      <c r="E208" s="1" t="s">
        <v>32</v>
      </c>
      <c r="F208" s="1" t="s">
        <v>42</v>
      </c>
      <c r="G208" s="1" t="s">
        <v>39</v>
      </c>
      <c r="H208" s="1">
        <v>1</v>
      </c>
      <c r="I208" s="1">
        <v>0</v>
      </c>
      <c r="J208" s="1">
        <v>0</v>
      </c>
      <c r="K208" s="1">
        <v>0</v>
      </c>
      <c r="L208" s="1">
        <v>0</v>
      </c>
      <c r="M208" s="1">
        <v>2</v>
      </c>
      <c r="N208" s="1">
        <f t="shared" si="3"/>
        <v>1</v>
      </c>
      <c r="O208" s="1">
        <v>0</v>
      </c>
      <c r="P208" s="1"/>
      <c r="Q208" s="1">
        <v>42.3</v>
      </c>
    </row>
    <row r="209" spans="1:17">
      <c r="A209" s="1" t="s">
        <v>252</v>
      </c>
      <c r="B209" s="4">
        <v>45678</v>
      </c>
      <c r="C209" s="1" t="s">
        <v>1</v>
      </c>
      <c r="D209" s="1" t="s">
        <v>31</v>
      </c>
      <c r="E209" s="1" t="s">
        <v>32</v>
      </c>
      <c r="F209" s="1" t="s">
        <v>52</v>
      </c>
      <c r="G209" s="1" t="s">
        <v>43</v>
      </c>
      <c r="H209" s="1">
        <v>1</v>
      </c>
      <c r="I209" s="1">
        <v>0</v>
      </c>
      <c r="J209" s="1">
        <v>0</v>
      </c>
      <c r="K209" s="1">
        <v>0</v>
      </c>
      <c r="L209" s="1">
        <v>0</v>
      </c>
      <c r="M209" s="1">
        <v>1</v>
      </c>
      <c r="N209" s="1">
        <f t="shared" si="3"/>
        <v>1</v>
      </c>
      <c r="O209" s="1">
        <v>0</v>
      </c>
      <c r="P209" s="1"/>
      <c r="Q209" s="1">
        <v>69.599999999999994</v>
      </c>
    </row>
    <row r="210" spans="1:17">
      <c r="A210" s="1" t="s">
        <v>253</v>
      </c>
      <c r="B210" s="4">
        <v>45793</v>
      </c>
      <c r="C210" s="1" t="s">
        <v>1</v>
      </c>
      <c r="D210" s="1" t="s">
        <v>41</v>
      </c>
      <c r="E210" s="1" t="s">
        <v>37</v>
      </c>
      <c r="F210" s="1" t="s">
        <v>38</v>
      </c>
      <c r="G210" s="1" t="s">
        <v>39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f t="shared" si="3"/>
        <v>0</v>
      </c>
      <c r="O210" s="1">
        <v>0</v>
      </c>
      <c r="P210" s="1"/>
      <c r="Q210" s="1">
        <v>40.700000000000003</v>
      </c>
    </row>
    <row r="211" spans="1:17">
      <c r="A211" s="1" t="s">
        <v>254</v>
      </c>
      <c r="B211" s="4">
        <v>45690</v>
      </c>
      <c r="C211" s="1" t="s">
        <v>1</v>
      </c>
      <c r="D211" s="1" t="s">
        <v>31</v>
      </c>
      <c r="E211" s="1" t="s">
        <v>37</v>
      </c>
      <c r="F211" s="1" t="s">
        <v>33</v>
      </c>
      <c r="G211" s="1" t="s">
        <v>39</v>
      </c>
      <c r="H211" s="1">
        <v>1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f t="shared" si="3"/>
        <v>0</v>
      </c>
      <c r="O211" s="1">
        <v>0</v>
      </c>
      <c r="P211" s="1"/>
      <c r="Q211" s="1">
        <v>54</v>
      </c>
    </row>
    <row r="212" spans="1:17">
      <c r="A212" s="1" t="s">
        <v>255</v>
      </c>
      <c r="B212" s="4">
        <v>45739</v>
      </c>
      <c r="C212" s="1" t="s">
        <v>1</v>
      </c>
      <c r="D212" s="1" t="s">
        <v>41</v>
      </c>
      <c r="E212" s="1"/>
      <c r="F212" s="1" t="s">
        <v>52</v>
      </c>
      <c r="G212" s="1" t="s">
        <v>39</v>
      </c>
      <c r="H212" s="1">
        <v>1</v>
      </c>
      <c r="I212" s="1">
        <v>1</v>
      </c>
      <c r="J212" s="1">
        <v>1</v>
      </c>
      <c r="K212" s="1">
        <v>1</v>
      </c>
      <c r="L212" s="1">
        <v>553.37</v>
      </c>
      <c r="M212" s="1">
        <v>0</v>
      </c>
      <c r="N212" s="1">
        <f t="shared" si="3"/>
        <v>0</v>
      </c>
      <c r="O212" s="1">
        <v>0</v>
      </c>
      <c r="P212" s="1">
        <v>5</v>
      </c>
      <c r="Q212" s="1">
        <v>46.3</v>
      </c>
    </row>
    <row r="213" spans="1:17">
      <c r="A213" s="1" t="s">
        <v>256</v>
      </c>
      <c r="B213" s="4">
        <v>45681</v>
      </c>
      <c r="C213" s="1" t="s">
        <v>1</v>
      </c>
      <c r="D213" s="1" t="s">
        <v>41</v>
      </c>
      <c r="E213" s="1" t="s">
        <v>37</v>
      </c>
      <c r="F213" s="1" t="s">
        <v>38</v>
      </c>
      <c r="G213" s="1" t="s">
        <v>39</v>
      </c>
      <c r="H213" s="1">
        <v>1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f t="shared" si="3"/>
        <v>0</v>
      </c>
      <c r="O213" s="1">
        <v>0</v>
      </c>
      <c r="P213" s="1"/>
      <c r="Q213" s="1">
        <v>64.2</v>
      </c>
    </row>
    <row r="214" spans="1:17">
      <c r="A214" s="1" t="s">
        <v>257</v>
      </c>
      <c r="B214" s="4">
        <v>45759</v>
      </c>
      <c r="C214" s="1" t="s">
        <v>1</v>
      </c>
      <c r="D214" s="1" t="s">
        <v>31</v>
      </c>
      <c r="E214" s="1" t="s">
        <v>32</v>
      </c>
      <c r="F214" s="1" t="s">
        <v>38</v>
      </c>
      <c r="G214" s="1" t="s">
        <v>39</v>
      </c>
      <c r="H214" s="1">
        <v>1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f t="shared" si="3"/>
        <v>0</v>
      </c>
      <c r="O214" s="1">
        <v>0</v>
      </c>
      <c r="P214" s="1"/>
      <c r="Q214" s="1">
        <v>75.2</v>
      </c>
    </row>
    <row r="215" spans="1:17">
      <c r="A215" s="1" t="s">
        <v>258</v>
      </c>
      <c r="B215" s="4">
        <v>45706</v>
      </c>
      <c r="C215" s="1" t="s">
        <v>1</v>
      </c>
      <c r="D215" s="1" t="s">
        <v>41</v>
      </c>
      <c r="E215" s="1" t="s">
        <v>32</v>
      </c>
      <c r="F215" s="1" t="s">
        <v>42</v>
      </c>
      <c r="G215" s="1" t="s">
        <v>39</v>
      </c>
      <c r="H215" s="1">
        <v>1</v>
      </c>
      <c r="I215" s="1">
        <v>1</v>
      </c>
      <c r="J215" s="1">
        <v>0</v>
      </c>
      <c r="K215" s="1">
        <v>0</v>
      </c>
      <c r="L215" s="1">
        <v>0</v>
      </c>
      <c r="M215" s="1">
        <v>0</v>
      </c>
      <c r="N215" s="1">
        <f t="shared" si="3"/>
        <v>0</v>
      </c>
      <c r="O215" s="1">
        <v>0</v>
      </c>
      <c r="P215" s="1"/>
      <c r="Q215" s="1">
        <v>60.9</v>
      </c>
    </row>
    <row r="216" spans="1:17">
      <c r="A216" s="1" t="s">
        <v>259</v>
      </c>
      <c r="B216" s="4">
        <v>45805</v>
      </c>
      <c r="C216" s="1" t="s">
        <v>1</v>
      </c>
      <c r="D216" s="1" t="s">
        <v>45</v>
      </c>
      <c r="E216" s="1" t="s">
        <v>37</v>
      </c>
      <c r="F216" s="1" t="s">
        <v>33</v>
      </c>
      <c r="G216" s="1" t="s">
        <v>34</v>
      </c>
      <c r="H216" s="1">
        <v>1</v>
      </c>
      <c r="I216" s="1">
        <v>1</v>
      </c>
      <c r="J216" s="1">
        <v>1</v>
      </c>
      <c r="K216" s="1">
        <v>0</v>
      </c>
      <c r="L216" s="1">
        <v>0</v>
      </c>
      <c r="M216" s="1">
        <v>0</v>
      </c>
      <c r="N216" s="1">
        <f t="shared" si="3"/>
        <v>0</v>
      </c>
      <c r="O216" s="1">
        <v>0</v>
      </c>
      <c r="P216" s="1"/>
      <c r="Q216" s="1">
        <v>62.1</v>
      </c>
    </row>
    <row r="217" spans="1:17">
      <c r="A217" s="1" t="s">
        <v>260</v>
      </c>
      <c r="B217" s="4">
        <v>45765</v>
      </c>
      <c r="C217" s="1" t="s">
        <v>1</v>
      </c>
      <c r="D217" s="1" t="s">
        <v>45</v>
      </c>
      <c r="E217" s="1" t="s">
        <v>37</v>
      </c>
      <c r="F217" s="1" t="s">
        <v>54</v>
      </c>
      <c r="G217" s="1" t="s">
        <v>34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f t="shared" si="3"/>
        <v>0</v>
      </c>
      <c r="O217" s="1">
        <v>0</v>
      </c>
      <c r="P217" s="1"/>
      <c r="Q217" s="1">
        <v>45.4</v>
      </c>
    </row>
    <row r="218" spans="1:17">
      <c r="A218" s="1" t="s">
        <v>261</v>
      </c>
      <c r="B218" s="4">
        <v>45743</v>
      </c>
      <c r="C218" s="1" t="s">
        <v>1</v>
      </c>
      <c r="D218" s="1" t="s">
        <v>31</v>
      </c>
      <c r="E218" s="1" t="s">
        <v>37</v>
      </c>
      <c r="F218" s="1" t="s">
        <v>42</v>
      </c>
      <c r="G218" s="1" t="s">
        <v>34</v>
      </c>
      <c r="H218" s="1">
        <v>1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f t="shared" si="3"/>
        <v>0</v>
      </c>
      <c r="O218" s="1">
        <v>0</v>
      </c>
      <c r="P218" s="1"/>
      <c r="Q218" s="1">
        <v>53.3</v>
      </c>
    </row>
    <row r="219" spans="1:17">
      <c r="A219" s="1" t="s">
        <v>262</v>
      </c>
      <c r="B219" s="4">
        <v>45713</v>
      </c>
      <c r="C219" s="1" t="s">
        <v>1</v>
      </c>
      <c r="D219" s="1" t="s">
        <v>31</v>
      </c>
      <c r="E219" s="1" t="s">
        <v>47</v>
      </c>
      <c r="F219" s="1" t="s">
        <v>54</v>
      </c>
      <c r="G219" s="1" t="s">
        <v>39</v>
      </c>
      <c r="H219" s="1">
        <v>1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f t="shared" si="3"/>
        <v>0</v>
      </c>
      <c r="O219" s="1">
        <v>0</v>
      </c>
      <c r="P219" s="1"/>
      <c r="Q219" s="1"/>
    </row>
    <row r="220" spans="1:17">
      <c r="A220" s="1" t="s">
        <v>263</v>
      </c>
      <c r="B220" s="4">
        <v>45707</v>
      </c>
      <c r="C220" s="1" t="s">
        <v>1</v>
      </c>
      <c r="D220" s="1" t="s">
        <v>41</v>
      </c>
      <c r="E220" s="1" t="s">
        <v>37</v>
      </c>
      <c r="F220" s="1" t="s">
        <v>42</v>
      </c>
      <c r="G220" s="1" t="s">
        <v>39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1</v>
      </c>
      <c r="N220" s="1">
        <f t="shared" si="3"/>
        <v>1</v>
      </c>
      <c r="O220" s="1">
        <v>0</v>
      </c>
      <c r="P220" s="1"/>
      <c r="Q220" s="1">
        <v>38.200000000000003</v>
      </c>
    </row>
    <row r="221" spans="1:17">
      <c r="A221" s="1" t="s">
        <v>264</v>
      </c>
      <c r="B221" s="4">
        <v>45758</v>
      </c>
      <c r="C221" s="1" t="s">
        <v>1</v>
      </c>
      <c r="D221" s="1" t="s">
        <v>36</v>
      </c>
      <c r="E221" s="1" t="s">
        <v>37</v>
      </c>
      <c r="F221" s="1" t="s">
        <v>42</v>
      </c>
      <c r="G221" s="1" t="s">
        <v>39</v>
      </c>
      <c r="H221" s="1">
        <v>1</v>
      </c>
      <c r="I221" s="1">
        <v>1</v>
      </c>
      <c r="J221" s="1">
        <v>0</v>
      </c>
      <c r="K221" s="1">
        <v>0</v>
      </c>
      <c r="L221" s="1">
        <v>0</v>
      </c>
      <c r="M221" s="1">
        <v>3</v>
      </c>
      <c r="N221" s="1">
        <f t="shared" si="3"/>
        <v>1</v>
      </c>
      <c r="O221" s="1">
        <v>0</v>
      </c>
      <c r="P221" s="1"/>
      <c r="Q221" s="1">
        <v>59</v>
      </c>
    </row>
    <row r="222" spans="1:17">
      <c r="A222" s="1" t="s">
        <v>265</v>
      </c>
      <c r="B222" s="4">
        <v>45679</v>
      </c>
      <c r="C222" s="1" t="s">
        <v>1</v>
      </c>
      <c r="D222" s="1" t="s">
        <v>41</v>
      </c>
      <c r="E222" s="1" t="s">
        <v>47</v>
      </c>
      <c r="F222" s="1" t="s">
        <v>52</v>
      </c>
      <c r="G222" s="1" t="s">
        <v>43</v>
      </c>
      <c r="H222" s="1">
        <v>1</v>
      </c>
      <c r="I222" s="1">
        <v>1</v>
      </c>
      <c r="J222" s="1">
        <v>1</v>
      </c>
      <c r="K222" s="1">
        <v>0</v>
      </c>
      <c r="L222" s="1">
        <v>0</v>
      </c>
      <c r="M222" s="1">
        <v>0</v>
      </c>
      <c r="N222" s="1">
        <f t="shared" si="3"/>
        <v>0</v>
      </c>
      <c r="O222" s="1">
        <v>0</v>
      </c>
      <c r="P222" s="1"/>
      <c r="Q222" s="1">
        <v>80.599999999999994</v>
      </c>
    </row>
    <row r="223" spans="1:17">
      <c r="A223" s="1" t="s">
        <v>266</v>
      </c>
      <c r="B223" s="4">
        <v>45669</v>
      </c>
      <c r="C223" s="1" t="s">
        <v>1</v>
      </c>
      <c r="D223" s="1" t="s">
        <v>45</v>
      </c>
      <c r="E223" s="1" t="s">
        <v>37</v>
      </c>
      <c r="F223" s="1" t="s">
        <v>54</v>
      </c>
      <c r="G223" s="1" t="s">
        <v>39</v>
      </c>
      <c r="H223" s="1">
        <v>1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f t="shared" si="3"/>
        <v>0</v>
      </c>
      <c r="O223" s="1">
        <v>0</v>
      </c>
      <c r="P223" s="1"/>
      <c r="Q223" s="1">
        <v>67</v>
      </c>
    </row>
    <row r="224" spans="1:17">
      <c r="A224" s="1" t="s">
        <v>267</v>
      </c>
      <c r="B224" s="4">
        <v>45705</v>
      </c>
      <c r="C224" s="1" t="s">
        <v>1</v>
      </c>
      <c r="D224" s="1" t="s">
        <v>36</v>
      </c>
      <c r="E224" s="1" t="s">
        <v>37</v>
      </c>
      <c r="F224" s="1" t="s">
        <v>33</v>
      </c>
      <c r="G224" s="1" t="s">
        <v>39</v>
      </c>
      <c r="H224" s="1">
        <v>1</v>
      </c>
      <c r="I224" s="1">
        <v>0</v>
      </c>
      <c r="J224" s="1">
        <v>0</v>
      </c>
      <c r="K224" s="1">
        <v>0</v>
      </c>
      <c r="L224" s="1">
        <v>0</v>
      </c>
      <c r="M224" s="1">
        <v>1</v>
      </c>
      <c r="N224" s="1">
        <f t="shared" si="3"/>
        <v>1</v>
      </c>
      <c r="O224" s="1">
        <v>0</v>
      </c>
      <c r="P224" s="1"/>
      <c r="Q224" s="1">
        <v>72.099999999999994</v>
      </c>
    </row>
    <row r="225" spans="1:17">
      <c r="A225" s="1" t="s">
        <v>268</v>
      </c>
      <c r="B225" s="4">
        <v>45758</v>
      </c>
      <c r="C225" s="1" t="s">
        <v>1</v>
      </c>
      <c r="D225" s="1" t="s">
        <v>36</v>
      </c>
      <c r="E225" s="1" t="s">
        <v>32</v>
      </c>
      <c r="F225" s="1" t="s">
        <v>38</v>
      </c>
      <c r="G225" s="1" t="s">
        <v>39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f t="shared" si="3"/>
        <v>0</v>
      </c>
      <c r="O225" s="1">
        <v>0</v>
      </c>
      <c r="P225" s="1"/>
      <c r="Q225" s="1">
        <v>74.099999999999994</v>
      </c>
    </row>
    <row r="226" spans="1:17">
      <c r="A226" s="1" t="s">
        <v>269</v>
      </c>
      <c r="B226" s="4">
        <v>45802</v>
      </c>
      <c r="C226" s="1" t="s">
        <v>1</v>
      </c>
      <c r="D226" s="1" t="s">
        <v>45</v>
      </c>
      <c r="E226" s="1" t="s">
        <v>37</v>
      </c>
      <c r="F226" s="1" t="s">
        <v>52</v>
      </c>
      <c r="G226" s="1" t="s">
        <v>43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f t="shared" si="3"/>
        <v>0</v>
      </c>
      <c r="O226" s="1">
        <v>0</v>
      </c>
      <c r="P226" s="1"/>
      <c r="Q226" s="1">
        <v>84.8</v>
      </c>
    </row>
    <row r="227" spans="1:17">
      <c r="A227" s="1" t="s">
        <v>270</v>
      </c>
      <c r="B227" s="4">
        <v>45728</v>
      </c>
      <c r="C227" s="1" t="s">
        <v>1</v>
      </c>
      <c r="D227" s="1" t="s">
        <v>45</v>
      </c>
      <c r="E227" s="1" t="s">
        <v>37</v>
      </c>
      <c r="F227" s="1" t="s">
        <v>38</v>
      </c>
      <c r="G227" s="1" t="s">
        <v>34</v>
      </c>
      <c r="H227" s="1">
        <v>1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f t="shared" si="3"/>
        <v>0</v>
      </c>
      <c r="O227" s="1">
        <v>0</v>
      </c>
      <c r="P227" s="1"/>
      <c r="Q227" s="1">
        <v>33</v>
      </c>
    </row>
    <row r="228" spans="1:17">
      <c r="A228" s="1" t="s">
        <v>271</v>
      </c>
      <c r="B228" s="4">
        <v>45767</v>
      </c>
      <c r="C228" s="1" t="s">
        <v>1</v>
      </c>
      <c r="D228" s="1" t="s">
        <v>31</v>
      </c>
      <c r="E228" s="1" t="s">
        <v>47</v>
      </c>
      <c r="F228" s="1" t="s">
        <v>33</v>
      </c>
      <c r="G228" s="1" t="s">
        <v>39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f t="shared" si="3"/>
        <v>0</v>
      </c>
      <c r="O228" s="1">
        <v>0</v>
      </c>
      <c r="P228" s="1"/>
      <c r="Q228" s="1">
        <v>52.5</v>
      </c>
    </row>
    <row r="229" spans="1:17">
      <c r="A229" s="1" t="s">
        <v>272</v>
      </c>
      <c r="B229" s="4">
        <v>45711</v>
      </c>
      <c r="C229" s="1" t="s">
        <v>1</v>
      </c>
      <c r="D229" s="1" t="s">
        <v>31</v>
      </c>
      <c r="E229" s="1" t="s">
        <v>47</v>
      </c>
      <c r="F229" s="1" t="s">
        <v>38</v>
      </c>
      <c r="G229" s="1" t="s">
        <v>39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f t="shared" si="3"/>
        <v>0</v>
      </c>
      <c r="O229" s="1">
        <v>0</v>
      </c>
      <c r="P229" s="1"/>
      <c r="Q229" s="1">
        <v>66.900000000000006</v>
      </c>
    </row>
    <row r="230" spans="1:17">
      <c r="A230" s="1" t="s">
        <v>273</v>
      </c>
      <c r="B230" s="4">
        <v>45681</v>
      </c>
      <c r="C230" s="1" t="s">
        <v>1</v>
      </c>
      <c r="D230" s="1" t="s">
        <v>31</v>
      </c>
      <c r="E230" s="1" t="s">
        <v>37</v>
      </c>
      <c r="F230" s="1" t="s">
        <v>38</v>
      </c>
      <c r="G230" s="1" t="s">
        <v>34</v>
      </c>
      <c r="H230" s="1">
        <v>1</v>
      </c>
      <c r="I230" s="1">
        <v>1</v>
      </c>
      <c r="J230" s="1">
        <v>1</v>
      </c>
      <c r="K230" s="1">
        <v>0</v>
      </c>
      <c r="L230" s="1">
        <v>0</v>
      </c>
      <c r="M230" s="1">
        <v>1</v>
      </c>
      <c r="N230" s="1">
        <f t="shared" si="3"/>
        <v>1</v>
      </c>
      <c r="O230" s="1">
        <v>0</v>
      </c>
      <c r="P230" s="1"/>
      <c r="Q230" s="1">
        <v>32.700000000000003</v>
      </c>
    </row>
    <row r="231" spans="1:17">
      <c r="A231" s="1" t="s">
        <v>274</v>
      </c>
      <c r="B231" s="4">
        <v>45673</v>
      </c>
      <c r="C231" s="1" t="s">
        <v>1</v>
      </c>
      <c r="D231" s="1" t="s">
        <v>36</v>
      </c>
      <c r="E231" s="1" t="s">
        <v>37</v>
      </c>
      <c r="F231" s="1" t="s">
        <v>38</v>
      </c>
      <c r="G231" s="1" t="s">
        <v>43</v>
      </c>
      <c r="H231" s="1">
        <v>1</v>
      </c>
      <c r="I231" s="1">
        <v>1</v>
      </c>
      <c r="J231" s="1">
        <v>1</v>
      </c>
      <c r="K231" s="1">
        <v>0</v>
      </c>
      <c r="L231" s="1">
        <v>0</v>
      </c>
      <c r="M231" s="1">
        <v>1</v>
      </c>
      <c r="N231" s="1">
        <f t="shared" si="3"/>
        <v>1</v>
      </c>
      <c r="O231" s="1">
        <v>0</v>
      </c>
      <c r="P231" s="1"/>
      <c r="Q231" s="1">
        <v>70.599999999999994</v>
      </c>
    </row>
    <row r="232" spans="1:17">
      <c r="A232" s="1" t="s">
        <v>275</v>
      </c>
      <c r="B232" s="4">
        <v>45705</v>
      </c>
      <c r="C232" s="1" t="s">
        <v>1</v>
      </c>
      <c r="D232" s="1" t="s">
        <v>31</v>
      </c>
      <c r="E232" s="1" t="s">
        <v>37</v>
      </c>
      <c r="F232" s="1" t="s">
        <v>54</v>
      </c>
      <c r="G232" s="1" t="s">
        <v>39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f t="shared" si="3"/>
        <v>0</v>
      </c>
      <c r="O232" s="1">
        <v>0</v>
      </c>
      <c r="P232" s="1"/>
      <c r="Q232" s="1">
        <v>69.400000000000006</v>
      </c>
    </row>
    <row r="233" spans="1:17">
      <c r="A233" s="1" t="s">
        <v>276</v>
      </c>
      <c r="B233" s="4">
        <v>45781</v>
      </c>
      <c r="C233" s="1" t="s">
        <v>1</v>
      </c>
      <c r="D233" s="1" t="s">
        <v>31</v>
      </c>
      <c r="E233" s="1" t="s">
        <v>32</v>
      </c>
      <c r="F233" s="1" t="s">
        <v>38</v>
      </c>
      <c r="G233" s="1" t="s">
        <v>34</v>
      </c>
      <c r="H233" s="1">
        <v>1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f t="shared" si="3"/>
        <v>0</v>
      </c>
      <c r="O233" s="1">
        <v>0</v>
      </c>
      <c r="P233" s="1"/>
      <c r="Q233" s="1">
        <v>56.1</v>
      </c>
    </row>
    <row r="234" spans="1:17">
      <c r="A234" s="1" t="s">
        <v>277</v>
      </c>
      <c r="B234" s="4">
        <v>45669</v>
      </c>
      <c r="C234" s="1" t="s">
        <v>1</v>
      </c>
      <c r="D234" s="1" t="s">
        <v>36</v>
      </c>
      <c r="E234" s="1" t="s">
        <v>37</v>
      </c>
      <c r="F234" s="1" t="s">
        <v>38</v>
      </c>
      <c r="G234" s="1" t="s">
        <v>34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f t="shared" si="3"/>
        <v>0</v>
      </c>
      <c r="O234" s="1">
        <v>0</v>
      </c>
      <c r="P234" s="1"/>
      <c r="Q234" s="1">
        <v>55.8</v>
      </c>
    </row>
    <row r="235" spans="1:17">
      <c r="A235" s="1" t="s">
        <v>278</v>
      </c>
      <c r="B235" s="4">
        <v>45775</v>
      </c>
      <c r="C235" s="1" t="s">
        <v>1</v>
      </c>
      <c r="D235" s="1" t="s">
        <v>31</v>
      </c>
      <c r="E235" s="1" t="s">
        <v>47</v>
      </c>
      <c r="F235" s="1" t="s">
        <v>38</v>
      </c>
      <c r="G235" s="1" t="s">
        <v>39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f t="shared" si="3"/>
        <v>0</v>
      </c>
      <c r="O235" s="1">
        <v>0</v>
      </c>
      <c r="P235" s="1"/>
      <c r="Q235" s="1">
        <v>49.3</v>
      </c>
    </row>
    <row r="236" spans="1:17">
      <c r="A236" s="1" t="s">
        <v>279</v>
      </c>
      <c r="B236" s="4">
        <v>45714</v>
      </c>
      <c r="C236" s="1" t="s">
        <v>1</v>
      </c>
      <c r="D236" s="1" t="s">
        <v>31</v>
      </c>
      <c r="E236" s="1" t="s">
        <v>37</v>
      </c>
      <c r="F236" s="1" t="s">
        <v>38</v>
      </c>
      <c r="G236" s="1" t="s">
        <v>39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f t="shared" si="3"/>
        <v>0</v>
      </c>
      <c r="O236" s="1">
        <v>0</v>
      </c>
      <c r="P236" s="1"/>
      <c r="Q236" s="1">
        <v>71.8</v>
      </c>
    </row>
    <row r="237" spans="1:17">
      <c r="A237" s="1" t="s">
        <v>280</v>
      </c>
      <c r="B237" s="4">
        <v>45734</v>
      </c>
      <c r="C237" s="1" t="s">
        <v>1</v>
      </c>
      <c r="D237" s="1" t="s">
        <v>36</v>
      </c>
      <c r="E237" s="1" t="s">
        <v>37</v>
      </c>
      <c r="F237" s="1" t="s">
        <v>54</v>
      </c>
      <c r="G237" s="1" t="s">
        <v>39</v>
      </c>
      <c r="H237" s="1">
        <v>1</v>
      </c>
      <c r="I237" s="1">
        <v>0</v>
      </c>
      <c r="J237" s="1">
        <v>0</v>
      </c>
      <c r="K237" s="1">
        <v>0</v>
      </c>
      <c r="L237" s="1">
        <v>0</v>
      </c>
      <c r="M237" s="1">
        <v>3</v>
      </c>
      <c r="N237" s="1">
        <f t="shared" si="3"/>
        <v>1</v>
      </c>
      <c r="O237" s="1">
        <v>0</v>
      </c>
      <c r="P237" s="1"/>
      <c r="Q237" s="1">
        <v>39.700000000000003</v>
      </c>
    </row>
    <row r="238" spans="1:17">
      <c r="A238" s="1" t="s">
        <v>281</v>
      </c>
      <c r="B238" s="4">
        <v>45717</v>
      </c>
      <c r="C238" s="1" t="s">
        <v>1</v>
      </c>
      <c r="D238" s="1" t="s">
        <v>45</v>
      </c>
      <c r="E238" s="1" t="s">
        <v>32</v>
      </c>
      <c r="F238" s="1" t="s">
        <v>38</v>
      </c>
      <c r="G238" s="1" t="s">
        <v>43</v>
      </c>
      <c r="H238" s="1">
        <v>1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f t="shared" si="3"/>
        <v>0</v>
      </c>
      <c r="O238" s="1">
        <v>0</v>
      </c>
      <c r="P238" s="1"/>
      <c r="Q238" s="1">
        <v>45.4</v>
      </c>
    </row>
    <row r="239" spans="1:17">
      <c r="A239" s="1" t="s">
        <v>282</v>
      </c>
      <c r="B239" s="4">
        <v>45752</v>
      </c>
      <c r="C239" s="1" t="s">
        <v>1</v>
      </c>
      <c r="D239" s="1" t="s">
        <v>31</v>
      </c>
      <c r="E239" s="1" t="s">
        <v>32</v>
      </c>
      <c r="F239" s="1" t="s">
        <v>54</v>
      </c>
      <c r="G239" s="1" t="s">
        <v>43</v>
      </c>
      <c r="H239" s="1">
        <v>1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f t="shared" si="3"/>
        <v>0</v>
      </c>
      <c r="O239" s="1">
        <v>0</v>
      </c>
      <c r="P239" s="1"/>
      <c r="Q239" s="1">
        <v>69.900000000000006</v>
      </c>
    </row>
    <row r="240" spans="1:17">
      <c r="A240" s="1" t="s">
        <v>283</v>
      </c>
      <c r="B240" s="4">
        <v>45728</v>
      </c>
      <c r="C240" s="1" t="s">
        <v>1</v>
      </c>
      <c r="D240" s="1" t="s">
        <v>31</v>
      </c>
      <c r="E240" s="1" t="s">
        <v>32</v>
      </c>
      <c r="F240" s="1" t="s">
        <v>54</v>
      </c>
      <c r="G240" s="1" t="s">
        <v>39</v>
      </c>
      <c r="H240" s="1">
        <v>1</v>
      </c>
      <c r="I240" s="1">
        <v>1</v>
      </c>
      <c r="J240" s="1">
        <v>1</v>
      </c>
      <c r="K240" s="1">
        <v>0</v>
      </c>
      <c r="L240" s="1">
        <v>0</v>
      </c>
      <c r="M240" s="1">
        <v>0</v>
      </c>
      <c r="N240" s="1">
        <f t="shared" si="3"/>
        <v>0</v>
      </c>
      <c r="O240" s="1">
        <v>0</v>
      </c>
      <c r="P240" s="1"/>
      <c r="Q240" s="1">
        <v>56.1</v>
      </c>
    </row>
    <row r="241" spans="1:17">
      <c r="A241" s="1" t="s">
        <v>284</v>
      </c>
      <c r="B241" s="4">
        <v>45731</v>
      </c>
      <c r="C241" s="1" t="s">
        <v>1</v>
      </c>
      <c r="D241" s="1" t="s">
        <v>36</v>
      </c>
      <c r="E241" s="1" t="s">
        <v>37</v>
      </c>
      <c r="F241" s="1" t="s">
        <v>52</v>
      </c>
      <c r="G241" s="1" t="s">
        <v>34</v>
      </c>
      <c r="H241" s="1">
        <v>1</v>
      </c>
      <c r="I241" s="1">
        <v>1</v>
      </c>
      <c r="J241" s="1">
        <v>0</v>
      </c>
      <c r="K241" s="1">
        <v>0</v>
      </c>
      <c r="L241" s="1">
        <v>0</v>
      </c>
      <c r="M241" s="1">
        <v>0</v>
      </c>
      <c r="N241" s="1">
        <f t="shared" si="3"/>
        <v>0</v>
      </c>
      <c r="O241" s="1">
        <v>0</v>
      </c>
      <c r="P241" s="1"/>
      <c r="Q241" s="1">
        <v>45.9</v>
      </c>
    </row>
    <row r="242" spans="1:17">
      <c r="A242" s="1" t="s">
        <v>285</v>
      </c>
      <c r="B242" s="4">
        <v>45711</v>
      </c>
      <c r="C242" s="1" t="s">
        <v>1</v>
      </c>
      <c r="D242" s="1" t="s">
        <v>36</v>
      </c>
      <c r="E242" s="1" t="s">
        <v>37</v>
      </c>
      <c r="F242" s="1" t="s">
        <v>33</v>
      </c>
      <c r="G242" s="1" t="s">
        <v>39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f t="shared" si="3"/>
        <v>0</v>
      </c>
      <c r="O242" s="1">
        <v>0</v>
      </c>
      <c r="P242" s="1"/>
      <c r="Q242" s="1">
        <v>65.8</v>
      </c>
    </row>
    <row r="243" spans="1:17">
      <c r="A243" s="1" t="s">
        <v>286</v>
      </c>
      <c r="B243" s="4">
        <v>45769</v>
      </c>
      <c r="C243" s="1" t="s">
        <v>1</v>
      </c>
      <c r="D243" s="1" t="s">
        <v>31</v>
      </c>
      <c r="E243" s="1" t="s">
        <v>37</v>
      </c>
      <c r="F243" s="1" t="s">
        <v>38</v>
      </c>
      <c r="G243" s="1" t="s">
        <v>34</v>
      </c>
      <c r="H243" s="1">
        <v>1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f t="shared" si="3"/>
        <v>0</v>
      </c>
      <c r="O243" s="1">
        <v>0</v>
      </c>
      <c r="P243" s="1"/>
      <c r="Q243" s="1">
        <v>48.2</v>
      </c>
    </row>
    <row r="244" spans="1:17">
      <c r="A244" s="1" t="s">
        <v>287</v>
      </c>
      <c r="B244" s="4">
        <v>45666</v>
      </c>
      <c r="C244" s="1" t="s">
        <v>1</v>
      </c>
      <c r="D244" s="1" t="s">
        <v>41</v>
      </c>
      <c r="E244" s="1" t="s">
        <v>37</v>
      </c>
      <c r="F244" s="1" t="s">
        <v>38</v>
      </c>
      <c r="G244" s="1" t="s">
        <v>34</v>
      </c>
      <c r="H244" s="1">
        <v>1</v>
      </c>
      <c r="I244" s="1">
        <v>1</v>
      </c>
      <c r="J244" s="1">
        <v>1</v>
      </c>
      <c r="K244" s="1">
        <v>0</v>
      </c>
      <c r="L244" s="1">
        <v>0</v>
      </c>
      <c r="M244" s="1">
        <v>0</v>
      </c>
      <c r="N244" s="1">
        <f t="shared" si="3"/>
        <v>0</v>
      </c>
      <c r="O244" s="1">
        <v>0</v>
      </c>
      <c r="P244" s="1"/>
      <c r="Q244" s="1">
        <v>81.099999999999994</v>
      </c>
    </row>
    <row r="245" spans="1:17">
      <c r="A245" s="1" t="s">
        <v>288</v>
      </c>
      <c r="B245" s="4">
        <v>45721</v>
      </c>
      <c r="C245" s="1" t="s">
        <v>1</v>
      </c>
      <c r="D245" s="1" t="s">
        <v>41</v>
      </c>
      <c r="E245" s="1" t="s">
        <v>47</v>
      </c>
      <c r="F245" s="1" t="s">
        <v>54</v>
      </c>
      <c r="G245" s="1" t="s">
        <v>43</v>
      </c>
      <c r="H245" s="1">
        <v>1</v>
      </c>
      <c r="I245" s="1">
        <v>1</v>
      </c>
      <c r="J245" s="1">
        <v>0</v>
      </c>
      <c r="K245" s="1">
        <v>0</v>
      </c>
      <c r="L245" s="1">
        <v>0</v>
      </c>
      <c r="M245" s="1">
        <v>0</v>
      </c>
      <c r="N245" s="1">
        <f t="shared" si="3"/>
        <v>0</v>
      </c>
      <c r="O245" s="1">
        <v>0</v>
      </c>
      <c r="P245" s="1"/>
      <c r="Q245" s="1">
        <v>53.2</v>
      </c>
    </row>
    <row r="246" spans="1:17">
      <c r="A246" s="1" t="s">
        <v>289</v>
      </c>
      <c r="B246" s="4">
        <v>45685</v>
      </c>
      <c r="C246" s="1" t="s">
        <v>1</v>
      </c>
      <c r="D246" s="1" t="s">
        <v>31</v>
      </c>
      <c r="E246" s="1" t="s">
        <v>37</v>
      </c>
      <c r="F246" s="1" t="s">
        <v>54</v>
      </c>
      <c r="G246" s="1" t="s">
        <v>39</v>
      </c>
      <c r="H246" s="1">
        <v>1</v>
      </c>
      <c r="I246" s="1">
        <v>1</v>
      </c>
      <c r="J246" s="1">
        <v>1</v>
      </c>
      <c r="K246" s="1">
        <v>0</v>
      </c>
      <c r="L246" s="1">
        <v>0</v>
      </c>
      <c r="M246" s="1">
        <v>0</v>
      </c>
      <c r="N246" s="1">
        <f t="shared" si="3"/>
        <v>0</v>
      </c>
      <c r="O246" s="1">
        <v>0</v>
      </c>
      <c r="P246" s="1"/>
      <c r="Q246" s="1">
        <v>57.7</v>
      </c>
    </row>
    <row r="247" spans="1:17">
      <c r="A247" s="1" t="s">
        <v>290</v>
      </c>
      <c r="B247" s="4">
        <v>45678</v>
      </c>
      <c r="C247" s="1" t="s">
        <v>1</v>
      </c>
      <c r="D247" s="1" t="s">
        <v>36</v>
      </c>
      <c r="E247" s="1" t="s">
        <v>37</v>
      </c>
      <c r="F247" s="1" t="s">
        <v>42</v>
      </c>
      <c r="G247" s="1" t="s">
        <v>43</v>
      </c>
      <c r="H247" s="1">
        <v>1</v>
      </c>
      <c r="I247" s="1">
        <v>1</v>
      </c>
      <c r="J247" s="1">
        <v>0</v>
      </c>
      <c r="K247" s="1">
        <v>0</v>
      </c>
      <c r="L247" s="1">
        <v>0</v>
      </c>
      <c r="M247" s="1">
        <v>0</v>
      </c>
      <c r="N247" s="1">
        <f t="shared" si="3"/>
        <v>0</v>
      </c>
      <c r="O247" s="1">
        <v>0</v>
      </c>
      <c r="P247" s="1"/>
      <c r="Q247" s="1">
        <v>78.900000000000006</v>
      </c>
    </row>
    <row r="248" spans="1:17">
      <c r="A248" s="1" t="s">
        <v>291</v>
      </c>
      <c r="B248" s="4">
        <v>45730</v>
      </c>
      <c r="C248" s="1" t="s">
        <v>1</v>
      </c>
      <c r="D248" s="1" t="s">
        <v>45</v>
      </c>
      <c r="E248" s="1" t="s">
        <v>37</v>
      </c>
      <c r="F248" s="1" t="s">
        <v>52</v>
      </c>
      <c r="G248" s="1" t="s">
        <v>34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f t="shared" si="3"/>
        <v>0</v>
      </c>
      <c r="O248" s="1">
        <v>0</v>
      </c>
      <c r="P248" s="1"/>
      <c r="Q248" s="1">
        <v>55.7</v>
      </c>
    </row>
    <row r="249" spans="1:17">
      <c r="A249" s="1" t="s">
        <v>292</v>
      </c>
      <c r="B249" s="4">
        <v>45691</v>
      </c>
      <c r="C249" s="1" t="s">
        <v>1</v>
      </c>
      <c r="D249" s="1" t="s">
        <v>36</v>
      </c>
      <c r="E249" s="1" t="s">
        <v>37</v>
      </c>
      <c r="F249" s="1" t="s">
        <v>42</v>
      </c>
      <c r="G249" s="1" t="s">
        <v>39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f t="shared" si="3"/>
        <v>0</v>
      </c>
      <c r="O249" s="1">
        <v>0</v>
      </c>
      <c r="P249" s="1"/>
      <c r="Q249" s="1">
        <v>52.3</v>
      </c>
    </row>
    <row r="250" spans="1:17">
      <c r="A250" s="1" t="s">
        <v>293</v>
      </c>
      <c r="B250" s="4">
        <v>45799</v>
      </c>
      <c r="C250" s="1" t="s">
        <v>1</v>
      </c>
      <c r="D250" s="1" t="s">
        <v>31</v>
      </c>
      <c r="E250" s="1" t="s">
        <v>37</v>
      </c>
      <c r="F250" s="1" t="s">
        <v>54</v>
      </c>
      <c r="G250" s="1" t="s">
        <v>39</v>
      </c>
      <c r="H250" s="1">
        <v>1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f t="shared" si="3"/>
        <v>0</v>
      </c>
      <c r="O250" s="1">
        <v>0</v>
      </c>
      <c r="P250" s="1"/>
      <c r="Q250" s="1">
        <v>51.5</v>
      </c>
    </row>
    <row r="251" spans="1:17">
      <c r="A251" s="1" t="s">
        <v>294</v>
      </c>
      <c r="B251" s="4">
        <v>45772</v>
      </c>
      <c r="C251" s="1" t="s">
        <v>1</v>
      </c>
      <c r="D251" s="1" t="s">
        <v>31</v>
      </c>
      <c r="E251" s="1" t="s">
        <v>32</v>
      </c>
      <c r="F251" s="1" t="s">
        <v>33</v>
      </c>
      <c r="G251" s="1" t="s">
        <v>39</v>
      </c>
      <c r="H251" s="1">
        <v>1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f t="shared" si="3"/>
        <v>0</v>
      </c>
      <c r="O251" s="1">
        <v>0</v>
      </c>
      <c r="P251" s="1"/>
      <c r="Q251" s="1">
        <v>70.8</v>
      </c>
    </row>
    <row r="252" spans="1:17">
      <c r="A252" s="1" t="s">
        <v>295</v>
      </c>
      <c r="B252" s="4">
        <v>45687</v>
      </c>
      <c r="C252" s="1" t="s">
        <v>1</v>
      </c>
      <c r="D252" s="1" t="s">
        <v>31</v>
      </c>
      <c r="E252" s="1" t="s">
        <v>32</v>
      </c>
      <c r="F252" s="1" t="s">
        <v>33</v>
      </c>
      <c r="G252" s="1" t="s">
        <v>34</v>
      </c>
      <c r="H252" s="1">
        <v>1</v>
      </c>
      <c r="I252" s="1">
        <v>1</v>
      </c>
      <c r="J252" s="1">
        <v>1</v>
      </c>
      <c r="K252" s="1">
        <v>1</v>
      </c>
      <c r="L252" s="1">
        <v>1250.78</v>
      </c>
      <c r="M252" s="1">
        <v>0</v>
      </c>
      <c r="N252" s="1">
        <f t="shared" si="3"/>
        <v>0</v>
      </c>
      <c r="O252" s="1">
        <v>0</v>
      </c>
      <c r="P252" s="1">
        <v>10</v>
      </c>
      <c r="Q252" s="1">
        <v>39</v>
      </c>
    </row>
    <row r="253" spans="1:17">
      <c r="A253" s="1" t="s">
        <v>296</v>
      </c>
      <c r="B253" s="4">
        <v>45800</v>
      </c>
      <c r="C253" s="1" t="s">
        <v>1</v>
      </c>
      <c r="D253" s="1" t="s">
        <v>36</v>
      </c>
      <c r="E253" s="1" t="s">
        <v>37</v>
      </c>
      <c r="F253" s="1" t="s">
        <v>38</v>
      </c>
      <c r="G253" s="1" t="s">
        <v>39</v>
      </c>
      <c r="H253" s="1">
        <v>1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f t="shared" si="3"/>
        <v>0</v>
      </c>
      <c r="O253" s="1">
        <v>0</v>
      </c>
      <c r="P253" s="1"/>
      <c r="Q253" s="1">
        <v>61.6</v>
      </c>
    </row>
    <row r="254" spans="1:17">
      <c r="A254" s="1" t="s">
        <v>297</v>
      </c>
      <c r="B254" s="4">
        <v>45702</v>
      </c>
      <c r="C254" s="1" t="s">
        <v>1</v>
      </c>
      <c r="D254" s="1" t="s">
        <v>41</v>
      </c>
      <c r="E254" s="1" t="s">
        <v>32</v>
      </c>
      <c r="F254" s="1" t="s">
        <v>38</v>
      </c>
      <c r="G254" s="1" t="s">
        <v>39</v>
      </c>
      <c r="H254" s="1">
        <v>1</v>
      </c>
      <c r="I254" s="1">
        <v>1</v>
      </c>
      <c r="J254" s="1">
        <v>1</v>
      </c>
      <c r="K254" s="1">
        <v>0</v>
      </c>
      <c r="L254" s="1">
        <v>0</v>
      </c>
      <c r="M254" s="1">
        <v>0</v>
      </c>
      <c r="N254" s="1">
        <f t="shared" si="3"/>
        <v>0</v>
      </c>
      <c r="O254" s="1">
        <v>0</v>
      </c>
      <c r="P254" s="1"/>
      <c r="Q254" s="1">
        <v>46.8</v>
      </c>
    </row>
    <row r="255" spans="1:17">
      <c r="A255" s="1" t="s">
        <v>298</v>
      </c>
      <c r="B255" s="4">
        <v>45721</v>
      </c>
      <c r="C255" s="1" t="s">
        <v>1</v>
      </c>
      <c r="D255" s="1" t="s">
        <v>31</v>
      </c>
      <c r="E255" s="1" t="s">
        <v>37</v>
      </c>
      <c r="F255" s="1" t="s">
        <v>42</v>
      </c>
      <c r="G255" s="1" t="s">
        <v>43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1</v>
      </c>
      <c r="N255" s="1">
        <f t="shared" si="3"/>
        <v>1</v>
      </c>
      <c r="O255" s="1">
        <v>0</v>
      </c>
      <c r="P255" s="1"/>
      <c r="Q255" s="1">
        <v>58.5</v>
      </c>
    </row>
    <row r="256" spans="1:17">
      <c r="A256" s="1" t="s">
        <v>299</v>
      </c>
      <c r="B256" s="4">
        <v>45804</v>
      </c>
      <c r="C256" s="1" t="s">
        <v>1</v>
      </c>
      <c r="D256" s="1" t="s">
        <v>31</v>
      </c>
      <c r="E256" s="1" t="s">
        <v>37</v>
      </c>
      <c r="F256" s="1" t="s">
        <v>42</v>
      </c>
      <c r="G256" s="1" t="s">
        <v>34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f t="shared" si="3"/>
        <v>0</v>
      </c>
      <c r="O256" s="1">
        <v>0</v>
      </c>
      <c r="P256" s="1"/>
      <c r="Q256" s="1">
        <v>70.900000000000006</v>
      </c>
    </row>
    <row r="257" spans="1:17">
      <c r="A257" s="1" t="s">
        <v>300</v>
      </c>
      <c r="B257" s="4">
        <v>45664</v>
      </c>
      <c r="C257" s="1" t="s">
        <v>1</v>
      </c>
      <c r="D257" s="1" t="s">
        <v>45</v>
      </c>
      <c r="E257" s="1" t="s">
        <v>37</v>
      </c>
      <c r="F257" s="1" t="s">
        <v>42</v>
      </c>
      <c r="G257" s="1" t="s">
        <v>39</v>
      </c>
      <c r="H257" s="1">
        <v>1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f t="shared" si="3"/>
        <v>0</v>
      </c>
      <c r="O257" s="1">
        <v>0</v>
      </c>
      <c r="P257" s="1"/>
      <c r="Q257" s="1">
        <v>48.4</v>
      </c>
    </row>
    <row r="258" spans="1:17">
      <c r="A258" s="1" t="s">
        <v>301</v>
      </c>
      <c r="B258" s="4">
        <v>45768</v>
      </c>
      <c r="C258" s="1" t="s">
        <v>1</v>
      </c>
      <c r="D258" s="1" t="s">
        <v>31</v>
      </c>
      <c r="E258" s="1" t="s">
        <v>37</v>
      </c>
      <c r="F258" s="1" t="s">
        <v>33</v>
      </c>
      <c r="G258" s="1" t="s">
        <v>39</v>
      </c>
      <c r="H258" s="1">
        <v>1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f t="shared" si="3"/>
        <v>0</v>
      </c>
      <c r="O258" s="1">
        <v>0</v>
      </c>
      <c r="P258" s="1"/>
      <c r="Q258" s="1">
        <v>58</v>
      </c>
    </row>
    <row r="259" spans="1:17">
      <c r="A259" s="1" t="s">
        <v>302</v>
      </c>
      <c r="B259" s="4">
        <v>45790</v>
      </c>
      <c r="C259" s="1" t="s">
        <v>1</v>
      </c>
      <c r="D259" s="1" t="s">
        <v>31</v>
      </c>
      <c r="E259" s="1" t="s">
        <v>37</v>
      </c>
      <c r="F259" s="1" t="s">
        <v>42</v>
      </c>
      <c r="G259" s="1" t="s">
        <v>39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f t="shared" ref="N259:N322" si="4">IF(M259&gt;0,1,0)</f>
        <v>0</v>
      </c>
      <c r="O259" s="1">
        <v>0</v>
      </c>
      <c r="P259" s="1"/>
      <c r="Q259" s="1">
        <v>61.6</v>
      </c>
    </row>
    <row r="260" spans="1:17">
      <c r="A260" s="1" t="s">
        <v>303</v>
      </c>
      <c r="B260" s="4">
        <v>45685</v>
      </c>
      <c r="C260" s="1" t="s">
        <v>1</v>
      </c>
      <c r="D260" s="1" t="s">
        <v>41</v>
      </c>
      <c r="E260" s="1" t="s">
        <v>32</v>
      </c>
      <c r="F260" s="1" t="s">
        <v>38</v>
      </c>
      <c r="G260" s="1" t="s">
        <v>39</v>
      </c>
      <c r="H260" s="1">
        <v>1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f t="shared" si="4"/>
        <v>0</v>
      </c>
      <c r="O260" s="1">
        <v>0</v>
      </c>
      <c r="P260" s="1"/>
      <c r="Q260" s="1">
        <v>43.2</v>
      </c>
    </row>
    <row r="261" spans="1:17">
      <c r="A261" s="1" t="s">
        <v>304</v>
      </c>
      <c r="B261" s="4">
        <v>45732</v>
      </c>
      <c r="C261" s="1" t="s">
        <v>1</v>
      </c>
      <c r="D261" s="1" t="s">
        <v>41</v>
      </c>
      <c r="E261" s="1" t="s">
        <v>32</v>
      </c>
      <c r="F261" s="1" t="s">
        <v>42</v>
      </c>
      <c r="G261" s="1" t="s">
        <v>34</v>
      </c>
      <c r="H261" s="1">
        <v>1</v>
      </c>
      <c r="I261" s="1">
        <v>0</v>
      </c>
      <c r="J261" s="1">
        <v>0</v>
      </c>
      <c r="K261" s="1">
        <v>0</v>
      </c>
      <c r="L261" s="1">
        <v>0</v>
      </c>
      <c r="M261" s="1">
        <v>1</v>
      </c>
      <c r="N261" s="1">
        <f t="shared" si="4"/>
        <v>1</v>
      </c>
      <c r="O261" s="1">
        <v>0</v>
      </c>
      <c r="P261" s="1"/>
      <c r="Q261" s="1">
        <v>53.3</v>
      </c>
    </row>
    <row r="262" spans="1:17">
      <c r="A262" s="1" t="s">
        <v>305</v>
      </c>
      <c r="B262" s="4">
        <v>45757</v>
      </c>
      <c r="C262" s="1" t="s">
        <v>1</v>
      </c>
      <c r="D262" s="1" t="s">
        <v>41</v>
      </c>
      <c r="E262" s="1" t="s">
        <v>32</v>
      </c>
      <c r="F262" s="1" t="s">
        <v>54</v>
      </c>
      <c r="G262" s="1" t="s">
        <v>34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f t="shared" si="4"/>
        <v>0</v>
      </c>
      <c r="O262" s="1">
        <v>0</v>
      </c>
      <c r="P262" s="1"/>
      <c r="Q262" s="1">
        <v>33.9</v>
      </c>
    </row>
    <row r="263" spans="1:17">
      <c r="A263" s="1" t="s">
        <v>306</v>
      </c>
      <c r="B263" s="4">
        <v>45731</v>
      </c>
      <c r="C263" s="1" t="s">
        <v>1</v>
      </c>
      <c r="D263" s="1" t="s">
        <v>41</v>
      </c>
      <c r="E263" s="1" t="s">
        <v>32</v>
      </c>
      <c r="F263" s="1" t="s">
        <v>52</v>
      </c>
      <c r="G263" s="1" t="s">
        <v>39</v>
      </c>
      <c r="H263" s="1">
        <v>1</v>
      </c>
      <c r="I263" s="1">
        <v>1</v>
      </c>
      <c r="J263" s="1">
        <v>1</v>
      </c>
      <c r="K263" s="1">
        <v>0</v>
      </c>
      <c r="L263" s="1">
        <v>0</v>
      </c>
      <c r="M263" s="1">
        <v>0</v>
      </c>
      <c r="N263" s="1">
        <f t="shared" si="4"/>
        <v>0</v>
      </c>
      <c r="O263" s="1">
        <v>0</v>
      </c>
      <c r="P263" s="1"/>
      <c r="Q263" s="1">
        <v>35.4</v>
      </c>
    </row>
    <row r="264" spans="1:17">
      <c r="A264" s="1" t="s">
        <v>307</v>
      </c>
      <c r="B264" s="4">
        <v>45754</v>
      </c>
      <c r="C264" s="1" t="s">
        <v>1</v>
      </c>
      <c r="D264" s="1" t="s">
        <v>36</v>
      </c>
      <c r="E264" s="1" t="s">
        <v>32</v>
      </c>
      <c r="F264" s="1" t="s">
        <v>38</v>
      </c>
      <c r="G264" s="1" t="s">
        <v>34</v>
      </c>
      <c r="H264" s="1">
        <v>1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f t="shared" si="4"/>
        <v>0</v>
      </c>
      <c r="O264" s="1">
        <v>0</v>
      </c>
      <c r="P264" s="1"/>
      <c r="Q264" s="1">
        <v>45</v>
      </c>
    </row>
    <row r="265" spans="1:17">
      <c r="A265" s="1" t="s">
        <v>308</v>
      </c>
      <c r="B265" s="4">
        <v>45700</v>
      </c>
      <c r="C265" s="1" t="s">
        <v>1</v>
      </c>
      <c r="D265" s="1" t="s">
        <v>45</v>
      </c>
      <c r="E265" s="1" t="s">
        <v>37</v>
      </c>
      <c r="F265" s="1" t="s">
        <v>38</v>
      </c>
      <c r="G265" s="1" t="s">
        <v>39</v>
      </c>
      <c r="H265" s="1">
        <v>1</v>
      </c>
      <c r="I265" s="1">
        <v>1</v>
      </c>
      <c r="J265" s="1">
        <v>0</v>
      </c>
      <c r="K265" s="1">
        <v>0</v>
      </c>
      <c r="L265" s="1">
        <v>0</v>
      </c>
      <c r="M265" s="1">
        <v>0</v>
      </c>
      <c r="N265" s="1">
        <f t="shared" si="4"/>
        <v>0</v>
      </c>
      <c r="O265" s="1">
        <v>0</v>
      </c>
      <c r="P265" s="1"/>
      <c r="Q265" s="1">
        <v>86.5</v>
      </c>
    </row>
    <row r="266" spans="1:17">
      <c r="A266" s="1" t="s">
        <v>309</v>
      </c>
      <c r="B266" s="4">
        <v>45782</v>
      </c>
      <c r="C266" s="1" t="s">
        <v>1</v>
      </c>
      <c r="D266" s="1" t="s">
        <v>36</v>
      </c>
      <c r="E266" s="1" t="s">
        <v>37</v>
      </c>
      <c r="F266" s="1" t="s">
        <v>54</v>
      </c>
      <c r="G266" s="1" t="s">
        <v>39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f t="shared" si="4"/>
        <v>0</v>
      </c>
      <c r="O266" s="1">
        <v>0</v>
      </c>
      <c r="P266" s="1"/>
      <c r="Q266" s="1">
        <v>58.1</v>
      </c>
    </row>
    <row r="267" spans="1:17">
      <c r="A267" s="1" t="s">
        <v>310</v>
      </c>
      <c r="B267" s="4">
        <v>45727</v>
      </c>
      <c r="C267" s="1" t="s">
        <v>1</v>
      </c>
      <c r="D267" s="1" t="s">
        <v>36</v>
      </c>
      <c r="E267" s="1" t="s">
        <v>37</v>
      </c>
      <c r="F267" s="1" t="s">
        <v>52</v>
      </c>
      <c r="G267" s="1" t="s">
        <v>39</v>
      </c>
      <c r="H267" s="1">
        <v>1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f t="shared" si="4"/>
        <v>0</v>
      </c>
      <c r="O267" s="1">
        <v>0</v>
      </c>
      <c r="P267" s="1"/>
      <c r="Q267" s="1">
        <v>36.1</v>
      </c>
    </row>
    <row r="268" spans="1:17">
      <c r="A268" s="1" t="s">
        <v>311</v>
      </c>
      <c r="B268" s="4">
        <v>45698</v>
      </c>
      <c r="C268" s="1" t="s">
        <v>1</v>
      </c>
      <c r="D268" s="1" t="s">
        <v>41</v>
      </c>
      <c r="E268" s="1" t="s">
        <v>37</v>
      </c>
      <c r="F268" s="1" t="s">
        <v>54</v>
      </c>
      <c r="G268" s="1" t="s">
        <v>39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f t="shared" si="4"/>
        <v>0</v>
      </c>
      <c r="O268" s="1">
        <v>0</v>
      </c>
      <c r="P268" s="1"/>
      <c r="Q268" s="1">
        <v>62.8</v>
      </c>
    </row>
    <row r="269" spans="1:17">
      <c r="A269" s="1" t="s">
        <v>312</v>
      </c>
      <c r="B269" s="4">
        <v>45753</v>
      </c>
      <c r="C269" s="1" t="s">
        <v>1</v>
      </c>
      <c r="D269" s="1" t="s">
        <v>45</v>
      </c>
      <c r="E269" s="1" t="s">
        <v>37</v>
      </c>
      <c r="F269" s="1" t="s">
        <v>38</v>
      </c>
      <c r="G269" s="1" t="s">
        <v>39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f t="shared" si="4"/>
        <v>0</v>
      </c>
      <c r="O269" s="1">
        <v>0</v>
      </c>
      <c r="P269" s="1"/>
      <c r="Q269" s="1">
        <v>54.2</v>
      </c>
    </row>
    <row r="270" spans="1:17">
      <c r="A270" s="1" t="s">
        <v>313</v>
      </c>
      <c r="B270" s="4">
        <v>45663</v>
      </c>
      <c r="C270" s="1" t="s">
        <v>1</v>
      </c>
      <c r="D270" s="1" t="s">
        <v>41</v>
      </c>
      <c r="E270" s="1" t="s">
        <v>37</v>
      </c>
      <c r="F270" s="1" t="s">
        <v>52</v>
      </c>
      <c r="G270" s="1" t="s">
        <v>39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f t="shared" si="4"/>
        <v>0</v>
      </c>
      <c r="O270" s="1">
        <v>0</v>
      </c>
      <c r="P270" s="1"/>
      <c r="Q270" s="1">
        <v>50</v>
      </c>
    </row>
    <row r="271" spans="1:17">
      <c r="A271" s="1" t="s">
        <v>314</v>
      </c>
      <c r="B271" s="4">
        <v>45741</v>
      </c>
      <c r="C271" s="1" t="s">
        <v>1</v>
      </c>
      <c r="D271" s="1" t="s">
        <v>41</v>
      </c>
      <c r="E271" s="1" t="s">
        <v>47</v>
      </c>
      <c r="F271" s="1" t="s">
        <v>42</v>
      </c>
      <c r="G271" s="1" t="s">
        <v>34</v>
      </c>
      <c r="H271" s="1">
        <v>1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f t="shared" si="4"/>
        <v>0</v>
      </c>
      <c r="O271" s="1">
        <v>0</v>
      </c>
      <c r="P271" s="1"/>
      <c r="Q271" s="1">
        <v>62</v>
      </c>
    </row>
    <row r="272" spans="1:17">
      <c r="A272" s="1" t="s">
        <v>315</v>
      </c>
      <c r="B272" s="4">
        <v>45701</v>
      </c>
      <c r="C272" s="1" t="s">
        <v>1</v>
      </c>
      <c r="D272" s="1" t="s">
        <v>41</v>
      </c>
      <c r="E272" s="1" t="s">
        <v>32</v>
      </c>
      <c r="F272" s="1" t="s">
        <v>52</v>
      </c>
      <c r="G272" s="1" t="s">
        <v>39</v>
      </c>
      <c r="H272" s="1">
        <v>1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f t="shared" si="4"/>
        <v>0</v>
      </c>
      <c r="O272" s="1">
        <v>0</v>
      </c>
      <c r="P272" s="1"/>
      <c r="Q272" s="1">
        <v>29.3</v>
      </c>
    </row>
    <row r="273" spans="1:17">
      <c r="A273" s="1" t="s">
        <v>316</v>
      </c>
      <c r="B273" s="4">
        <v>45733</v>
      </c>
      <c r="C273" s="1" t="s">
        <v>1</v>
      </c>
      <c r="D273" s="1" t="s">
        <v>36</v>
      </c>
      <c r="E273" s="1" t="s">
        <v>32</v>
      </c>
      <c r="F273" s="1" t="s">
        <v>38</v>
      </c>
      <c r="G273" s="1" t="s">
        <v>39</v>
      </c>
      <c r="H273" s="1">
        <v>1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f t="shared" si="4"/>
        <v>0</v>
      </c>
      <c r="O273" s="1">
        <v>0</v>
      </c>
      <c r="P273" s="1"/>
      <c r="Q273" s="1">
        <v>67.900000000000006</v>
      </c>
    </row>
    <row r="274" spans="1:17">
      <c r="A274" s="1" t="s">
        <v>317</v>
      </c>
      <c r="B274" s="4">
        <v>45787</v>
      </c>
      <c r="C274" s="1" t="s">
        <v>1</v>
      </c>
      <c r="D274" s="1" t="s">
        <v>31</v>
      </c>
      <c r="E274" s="1" t="s">
        <v>37</v>
      </c>
      <c r="F274" s="1" t="s">
        <v>52</v>
      </c>
      <c r="G274" s="1" t="s">
        <v>39</v>
      </c>
      <c r="H274" s="1">
        <v>1</v>
      </c>
      <c r="I274" s="1">
        <v>1</v>
      </c>
      <c r="J274" s="1">
        <v>1</v>
      </c>
      <c r="K274" s="1">
        <v>0</v>
      </c>
      <c r="L274" s="1">
        <v>0</v>
      </c>
      <c r="M274" s="1">
        <v>0</v>
      </c>
      <c r="N274" s="1">
        <f t="shared" si="4"/>
        <v>0</v>
      </c>
      <c r="O274" s="1">
        <v>0</v>
      </c>
      <c r="P274" s="1"/>
      <c r="Q274" s="1">
        <v>67.599999999999994</v>
      </c>
    </row>
    <row r="275" spans="1:17">
      <c r="A275" s="1" t="s">
        <v>318</v>
      </c>
      <c r="B275" s="4">
        <v>45784</v>
      </c>
      <c r="C275" s="1" t="s">
        <v>1</v>
      </c>
      <c r="D275" s="1" t="s">
        <v>45</v>
      </c>
      <c r="E275" s="1" t="s">
        <v>37</v>
      </c>
      <c r="F275" s="1" t="s">
        <v>42</v>
      </c>
      <c r="G275" s="1" t="s">
        <v>34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f t="shared" si="4"/>
        <v>0</v>
      </c>
      <c r="O275" s="1">
        <v>0</v>
      </c>
      <c r="P275" s="1"/>
      <c r="Q275" s="1">
        <v>67.400000000000006</v>
      </c>
    </row>
    <row r="276" spans="1:17">
      <c r="A276" s="1" t="s">
        <v>319</v>
      </c>
      <c r="B276" s="4">
        <v>45714</v>
      </c>
      <c r="C276" s="1" t="s">
        <v>1</v>
      </c>
      <c r="D276" s="1" t="s">
        <v>36</v>
      </c>
      <c r="E276" s="1" t="s">
        <v>32</v>
      </c>
      <c r="F276" s="1" t="s">
        <v>42</v>
      </c>
      <c r="G276" s="1" t="s">
        <v>43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2</v>
      </c>
      <c r="N276" s="1">
        <f t="shared" si="4"/>
        <v>1</v>
      </c>
      <c r="O276" s="1">
        <v>0</v>
      </c>
      <c r="P276" s="1"/>
      <c r="Q276" s="1">
        <v>53</v>
      </c>
    </row>
    <row r="277" spans="1:17">
      <c r="A277" s="1" t="s">
        <v>320</v>
      </c>
      <c r="B277" s="4">
        <v>45788</v>
      </c>
      <c r="C277" s="1" t="s">
        <v>1</v>
      </c>
      <c r="D277" s="1" t="s">
        <v>31</v>
      </c>
      <c r="E277" s="1" t="s">
        <v>37</v>
      </c>
      <c r="F277" s="1" t="s">
        <v>38</v>
      </c>
      <c r="G277" s="1" t="s">
        <v>34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f t="shared" si="4"/>
        <v>0</v>
      </c>
      <c r="O277" s="1">
        <v>0</v>
      </c>
      <c r="P277" s="1"/>
      <c r="Q277" s="1">
        <v>65.5</v>
      </c>
    </row>
    <row r="278" spans="1:17">
      <c r="A278" s="1" t="s">
        <v>321</v>
      </c>
      <c r="B278" s="4">
        <v>45736</v>
      </c>
      <c r="C278" s="1" t="s">
        <v>1</v>
      </c>
      <c r="D278" s="1" t="s">
        <v>45</v>
      </c>
      <c r="E278" s="1" t="s">
        <v>37</v>
      </c>
      <c r="F278" s="1" t="s">
        <v>38</v>
      </c>
      <c r="G278" s="1" t="s">
        <v>34</v>
      </c>
      <c r="H278" s="1">
        <v>1</v>
      </c>
      <c r="I278" s="1">
        <v>1</v>
      </c>
      <c r="J278" s="1">
        <v>0</v>
      </c>
      <c r="K278" s="1">
        <v>0</v>
      </c>
      <c r="L278" s="1">
        <v>0</v>
      </c>
      <c r="M278" s="1">
        <v>0</v>
      </c>
      <c r="N278" s="1">
        <f t="shared" si="4"/>
        <v>0</v>
      </c>
      <c r="O278" s="1">
        <v>0</v>
      </c>
      <c r="P278" s="1"/>
      <c r="Q278" s="1">
        <v>49.6</v>
      </c>
    </row>
    <row r="279" spans="1:17">
      <c r="A279" s="1" t="s">
        <v>322</v>
      </c>
      <c r="B279" s="4">
        <v>45676</v>
      </c>
      <c r="C279" s="1" t="s">
        <v>1</v>
      </c>
      <c r="D279" s="1" t="s">
        <v>31</v>
      </c>
      <c r="E279" s="1" t="s">
        <v>37</v>
      </c>
      <c r="F279" s="1" t="s">
        <v>33</v>
      </c>
      <c r="G279" s="1" t="s">
        <v>39</v>
      </c>
      <c r="H279" s="1">
        <v>1</v>
      </c>
      <c r="I279" s="1">
        <v>1</v>
      </c>
      <c r="J279" s="1">
        <v>0</v>
      </c>
      <c r="K279" s="1">
        <v>0</v>
      </c>
      <c r="L279" s="1">
        <v>0</v>
      </c>
      <c r="M279" s="1">
        <v>0</v>
      </c>
      <c r="N279" s="1">
        <f t="shared" si="4"/>
        <v>0</v>
      </c>
      <c r="O279" s="1">
        <v>0</v>
      </c>
      <c r="P279" s="1"/>
      <c r="Q279" s="1">
        <v>74.5</v>
      </c>
    </row>
    <row r="280" spans="1:17">
      <c r="A280" s="1" t="s">
        <v>323</v>
      </c>
      <c r="B280" s="4">
        <v>45724</v>
      </c>
      <c r="C280" s="1" t="s">
        <v>1</v>
      </c>
      <c r="D280" s="1" t="s">
        <v>31</v>
      </c>
      <c r="E280" s="1" t="s">
        <v>47</v>
      </c>
      <c r="F280" s="1" t="s">
        <v>42</v>
      </c>
      <c r="G280" s="1" t="s">
        <v>43</v>
      </c>
      <c r="H280" s="1">
        <v>1</v>
      </c>
      <c r="I280" s="1">
        <v>0</v>
      </c>
      <c r="J280" s="1">
        <v>0</v>
      </c>
      <c r="K280" s="1">
        <v>0</v>
      </c>
      <c r="L280" s="1">
        <v>0</v>
      </c>
      <c r="M280" s="1">
        <v>1</v>
      </c>
      <c r="N280" s="1">
        <f t="shared" si="4"/>
        <v>1</v>
      </c>
      <c r="O280" s="1">
        <v>0</v>
      </c>
      <c r="P280" s="1"/>
      <c r="Q280" s="1">
        <v>46.9</v>
      </c>
    </row>
    <row r="281" spans="1:17">
      <c r="A281" s="1" t="s">
        <v>324</v>
      </c>
      <c r="B281" s="4">
        <v>45772</v>
      </c>
      <c r="C281" s="1" t="s">
        <v>1</v>
      </c>
      <c r="D281" s="1" t="s">
        <v>31</v>
      </c>
      <c r="E281" s="1" t="s">
        <v>37</v>
      </c>
      <c r="F281" s="1" t="s">
        <v>38</v>
      </c>
      <c r="G281" s="1" t="s">
        <v>39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f t="shared" si="4"/>
        <v>0</v>
      </c>
      <c r="O281" s="1">
        <v>0</v>
      </c>
      <c r="P281" s="1"/>
      <c r="Q281" s="1">
        <v>87.1</v>
      </c>
    </row>
    <row r="282" spans="1:17">
      <c r="A282" s="1" t="s">
        <v>325</v>
      </c>
      <c r="B282" s="4">
        <v>45751</v>
      </c>
      <c r="C282" s="1" t="s">
        <v>1</v>
      </c>
      <c r="D282" s="1" t="s">
        <v>31</v>
      </c>
      <c r="E282" s="1" t="s">
        <v>32</v>
      </c>
      <c r="F282" s="1" t="s">
        <v>38</v>
      </c>
      <c r="G282" s="1" t="s">
        <v>39</v>
      </c>
      <c r="H282" s="1">
        <v>1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f t="shared" si="4"/>
        <v>0</v>
      </c>
      <c r="O282" s="1">
        <v>0</v>
      </c>
      <c r="P282" s="1"/>
      <c r="Q282" s="1">
        <v>56</v>
      </c>
    </row>
    <row r="283" spans="1:17">
      <c r="A283" s="1" t="s">
        <v>326</v>
      </c>
      <c r="B283" s="4">
        <v>45778</v>
      </c>
      <c r="C283" s="1" t="s">
        <v>1</v>
      </c>
      <c r="D283" s="1" t="s">
        <v>41</v>
      </c>
      <c r="E283" s="1" t="s">
        <v>37</v>
      </c>
      <c r="F283" s="1" t="s">
        <v>42</v>
      </c>
      <c r="G283" s="1" t="s">
        <v>43</v>
      </c>
      <c r="H283" s="1">
        <v>1</v>
      </c>
      <c r="I283" s="1">
        <v>0</v>
      </c>
      <c r="J283" s="1">
        <v>0</v>
      </c>
      <c r="K283" s="1">
        <v>0</v>
      </c>
      <c r="L283" s="1">
        <v>0</v>
      </c>
      <c r="M283" s="1">
        <v>1</v>
      </c>
      <c r="N283" s="1">
        <f t="shared" si="4"/>
        <v>1</v>
      </c>
      <c r="O283" s="1">
        <v>0</v>
      </c>
      <c r="P283" s="1"/>
      <c r="Q283" s="1">
        <v>61.7</v>
      </c>
    </row>
    <row r="284" spans="1:17">
      <c r="A284" s="1" t="s">
        <v>327</v>
      </c>
      <c r="B284" s="4">
        <v>45678</v>
      </c>
      <c r="C284" s="1" t="s">
        <v>1</v>
      </c>
      <c r="D284" s="1" t="s">
        <v>45</v>
      </c>
      <c r="E284" s="1" t="s">
        <v>37</v>
      </c>
      <c r="F284" s="1" t="s">
        <v>54</v>
      </c>
      <c r="G284" s="1" t="s">
        <v>39</v>
      </c>
      <c r="H284" s="1">
        <v>1</v>
      </c>
      <c r="I284" s="1">
        <v>0</v>
      </c>
      <c r="J284" s="1">
        <v>0</v>
      </c>
      <c r="K284" s="1">
        <v>0</v>
      </c>
      <c r="L284" s="1">
        <v>0</v>
      </c>
      <c r="M284" s="1">
        <v>1</v>
      </c>
      <c r="N284" s="1">
        <f t="shared" si="4"/>
        <v>1</v>
      </c>
      <c r="O284" s="1">
        <v>0</v>
      </c>
      <c r="P284" s="1"/>
      <c r="Q284" s="1">
        <v>70.5</v>
      </c>
    </row>
    <row r="285" spans="1:17">
      <c r="A285" s="1" t="s">
        <v>328</v>
      </c>
      <c r="B285" s="4">
        <v>45698</v>
      </c>
      <c r="C285" s="1" t="s">
        <v>1</v>
      </c>
      <c r="D285" s="1" t="s">
        <v>31</v>
      </c>
      <c r="E285" s="1" t="s">
        <v>32</v>
      </c>
      <c r="F285" s="1" t="s">
        <v>52</v>
      </c>
      <c r="G285" s="1" t="s">
        <v>34</v>
      </c>
      <c r="H285" s="1">
        <v>1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f t="shared" si="4"/>
        <v>0</v>
      </c>
      <c r="O285" s="1">
        <v>0</v>
      </c>
      <c r="P285" s="1"/>
      <c r="Q285" s="1">
        <v>33.4</v>
      </c>
    </row>
    <row r="286" spans="1:17">
      <c r="A286" s="1" t="s">
        <v>329</v>
      </c>
      <c r="B286" s="4">
        <v>45783</v>
      </c>
      <c r="C286" s="1" t="s">
        <v>1</v>
      </c>
      <c r="D286" s="1" t="s">
        <v>45</v>
      </c>
      <c r="E286" s="1" t="s">
        <v>32</v>
      </c>
      <c r="F286" s="1" t="s">
        <v>38</v>
      </c>
      <c r="G286" s="1" t="s">
        <v>39</v>
      </c>
      <c r="H286" s="1">
        <v>1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f t="shared" si="4"/>
        <v>0</v>
      </c>
      <c r="O286" s="1">
        <v>0</v>
      </c>
      <c r="P286" s="1"/>
      <c r="Q286" s="1">
        <v>57.5</v>
      </c>
    </row>
    <row r="287" spans="1:17">
      <c r="A287" s="1" t="s">
        <v>330</v>
      </c>
      <c r="B287" s="4">
        <v>45696</v>
      </c>
      <c r="C287" s="1" t="s">
        <v>1</v>
      </c>
      <c r="D287" s="1" t="s">
        <v>31</v>
      </c>
      <c r="E287" s="1" t="s">
        <v>32</v>
      </c>
      <c r="F287" s="1" t="s">
        <v>42</v>
      </c>
      <c r="G287" s="1" t="s">
        <v>34</v>
      </c>
      <c r="H287" s="1">
        <v>1</v>
      </c>
      <c r="I287" s="1">
        <v>1</v>
      </c>
      <c r="J287" s="1">
        <v>0</v>
      </c>
      <c r="K287" s="1">
        <v>0</v>
      </c>
      <c r="L287" s="1">
        <v>0</v>
      </c>
      <c r="M287" s="1">
        <v>0</v>
      </c>
      <c r="N287" s="1">
        <f t="shared" si="4"/>
        <v>0</v>
      </c>
      <c r="O287" s="1">
        <v>0</v>
      </c>
      <c r="P287" s="1"/>
      <c r="Q287" s="1">
        <v>85.7</v>
      </c>
    </row>
    <row r="288" spans="1:17">
      <c r="A288" s="1" t="s">
        <v>331</v>
      </c>
      <c r="B288" s="4">
        <v>45808</v>
      </c>
      <c r="C288" s="1" t="s">
        <v>1</v>
      </c>
      <c r="D288" s="1" t="s">
        <v>41</v>
      </c>
      <c r="E288" s="1" t="s">
        <v>37</v>
      </c>
      <c r="F288" s="1" t="s">
        <v>54</v>
      </c>
      <c r="G288" s="1" t="s">
        <v>39</v>
      </c>
      <c r="H288" s="1">
        <v>1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f t="shared" si="4"/>
        <v>0</v>
      </c>
      <c r="O288" s="1">
        <v>0</v>
      </c>
      <c r="P288" s="1"/>
      <c r="Q288" s="1">
        <v>41.9</v>
      </c>
    </row>
    <row r="289" spans="1:17">
      <c r="A289" s="1" t="s">
        <v>332</v>
      </c>
      <c r="B289" s="4">
        <v>45695</v>
      </c>
      <c r="C289" s="1" t="s">
        <v>1</v>
      </c>
      <c r="D289" s="1" t="s">
        <v>36</v>
      </c>
      <c r="E289" s="1" t="s">
        <v>37</v>
      </c>
      <c r="F289" s="1" t="s">
        <v>33</v>
      </c>
      <c r="G289" s="1" t="s">
        <v>34</v>
      </c>
      <c r="H289" s="1">
        <v>1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f t="shared" si="4"/>
        <v>0</v>
      </c>
      <c r="O289" s="1">
        <v>0</v>
      </c>
      <c r="P289" s="1"/>
      <c r="Q289" s="1">
        <v>70.2</v>
      </c>
    </row>
    <row r="290" spans="1:17">
      <c r="A290" s="1" t="s">
        <v>333</v>
      </c>
      <c r="B290" s="4">
        <v>45698</v>
      </c>
      <c r="C290" s="1" t="s">
        <v>1</v>
      </c>
      <c r="D290" s="1" t="s">
        <v>31</v>
      </c>
      <c r="E290" s="1" t="s">
        <v>37</v>
      </c>
      <c r="F290" s="1" t="s">
        <v>54</v>
      </c>
      <c r="G290" s="1" t="s">
        <v>39</v>
      </c>
      <c r="H290" s="1">
        <v>1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f t="shared" si="4"/>
        <v>0</v>
      </c>
      <c r="O290" s="1">
        <v>0</v>
      </c>
      <c r="P290" s="1"/>
      <c r="Q290" s="1">
        <v>42.6</v>
      </c>
    </row>
    <row r="291" spans="1:17">
      <c r="A291" s="1" t="s">
        <v>334</v>
      </c>
      <c r="B291" s="4">
        <v>45688</v>
      </c>
      <c r="C291" s="1" t="s">
        <v>1</v>
      </c>
      <c r="D291" s="1" t="s">
        <v>36</v>
      </c>
      <c r="E291" s="1" t="s">
        <v>37</v>
      </c>
      <c r="F291" s="1" t="s">
        <v>54</v>
      </c>
      <c r="G291" s="1" t="s">
        <v>34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2</v>
      </c>
      <c r="N291" s="1">
        <f t="shared" si="4"/>
        <v>1</v>
      </c>
      <c r="O291" s="1">
        <v>0</v>
      </c>
      <c r="P291" s="1"/>
      <c r="Q291" s="1">
        <v>30.4</v>
      </c>
    </row>
    <row r="292" spans="1:17">
      <c r="A292" s="1" t="s">
        <v>335</v>
      </c>
      <c r="B292" s="4">
        <v>45732</v>
      </c>
      <c r="C292" s="1" t="s">
        <v>1</v>
      </c>
      <c r="D292" s="1" t="s">
        <v>41</v>
      </c>
      <c r="E292" s="1" t="s">
        <v>37</v>
      </c>
      <c r="F292" s="1" t="s">
        <v>42</v>
      </c>
      <c r="G292" s="1" t="s">
        <v>34</v>
      </c>
      <c r="H292" s="1">
        <v>1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f t="shared" si="4"/>
        <v>0</v>
      </c>
      <c r="O292" s="1">
        <v>0</v>
      </c>
      <c r="P292" s="1"/>
      <c r="Q292" s="1">
        <v>63.7</v>
      </c>
    </row>
    <row r="293" spans="1:17">
      <c r="A293" s="1" t="s">
        <v>336</v>
      </c>
      <c r="B293" s="4">
        <v>45771</v>
      </c>
      <c r="C293" s="1" t="s">
        <v>1</v>
      </c>
      <c r="D293" s="1" t="s">
        <v>45</v>
      </c>
      <c r="E293" s="1" t="s">
        <v>37</v>
      </c>
      <c r="F293" s="1" t="s">
        <v>54</v>
      </c>
      <c r="G293" s="1" t="s">
        <v>34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f t="shared" si="4"/>
        <v>0</v>
      </c>
      <c r="O293" s="1">
        <v>0</v>
      </c>
      <c r="P293" s="1"/>
      <c r="Q293" s="1">
        <v>42.7</v>
      </c>
    </row>
    <row r="294" spans="1:17">
      <c r="A294" s="1" t="s">
        <v>337</v>
      </c>
      <c r="B294" s="4">
        <v>45685</v>
      </c>
      <c r="C294" s="1" t="s">
        <v>1</v>
      </c>
      <c r="D294" s="1" t="s">
        <v>31</v>
      </c>
      <c r="E294" s="1" t="s">
        <v>37</v>
      </c>
      <c r="F294" s="1" t="s">
        <v>38</v>
      </c>
      <c r="G294" s="1" t="s">
        <v>39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f t="shared" si="4"/>
        <v>0</v>
      </c>
      <c r="O294" s="1">
        <v>0</v>
      </c>
      <c r="P294" s="1"/>
      <c r="Q294" s="1">
        <v>74.3</v>
      </c>
    </row>
    <row r="295" spans="1:17">
      <c r="A295" s="1" t="s">
        <v>338</v>
      </c>
      <c r="B295" s="4">
        <v>45704</v>
      </c>
      <c r="C295" s="1" t="s">
        <v>1</v>
      </c>
      <c r="D295" s="1" t="s">
        <v>36</v>
      </c>
      <c r="E295" s="1" t="s">
        <v>32</v>
      </c>
      <c r="F295" s="1" t="s">
        <v>33</v>
      </c>
      <c r="G295" s="1" t="s">
        <v>39</v>
      </c>
      <c r="H295" s="1">
        <v>1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f t="shared" si="4"/>
        <v>0</v>
      </c>
      <c r="O295" s="1">
        <v>0</v>
      </c>
      <c r="P295" s="1"/>
      <c r="Q295" s="1">
        <v>40.6</v>
      </c>
    </row>
    <row r="296" spans="1:17">
      <c r="A296" s="1" t="s">
        <v>339</v>
      </c>
      <c r="B296" s="4">
        <v>45739</v>
      </c>
      <c r="C296" s="1" t="s">
        <v>1</v>
      </c>
      <c r="D296" s="1" t="s">
        <v>41</v>
      </c>
      <c r="E296" s="1" t="s">
        <v>37</v>
      </c>
      <c r="F296" s="1" t="s">
        <v>38</v>
      </c>
      <c r="G296" s="1" t="s">
        <v>43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f t="shared" si="4"/>
        <v>0</v>
      </c>
      <c r="O296" s="1">
        <v>0</v>
      </c>
      <c r="P296" s="1"/>
      <c r="Q296" s="1">
        <v>67</v>
      </c>
    </row>
    <row r="297" spans="1:17">
      <c r="A297" s="1" t="s">
        <v>340</v>
      </c>
      <c r="B297" s="4">
        <v>45808</v>
      </c>
      <c r="C297" s="1" t="s">
        <v>1</v>
      </c>
      <c r="D297" s="1" t="s">
        <v>41</v>
      </c>
      <c r="E297" s="1" t="s">
        <v>37</v>
      </c>
      <c r="F297" s="1" t="s">
        <v>42</v>
      </c>
      <c r="G297" s="1" t="s">
        <v>43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f t="shared" si="4"/>
        <v>0</v>
      </c>
      <c r="O297" s="1">
        <v>0</v>
      </c>
      <c r="P297" s="1"/>
      <c r="Q297" s="1">
        <v>51</v>
      </c>
    </row>
    <row r="298" spans="1:17">
      <c r="A298" s="1" t="s">
        <v>341</v>
      </c>
      <c r="B298" s="4">
        <v>45760</v>
      </c>
      <c r="C298" s="1" t="s">
        <v>1</v>
      </c>
      <c r="D298" s="1" t="s">
        <v>36</v>
      </c>
      <c r="E298" s="1" t="s">
        <v>37</v>
      </c>
      <c r="F298" s="1" t="s">
        <v>54</v>
      </c>
      <c r="G298" s="1" t="s">
        <v>34</v>
      </c>
      <c r="H298" s="1">
        <v>1</v>
      </c>
      <c r="I298" s="1">
        <v>1</v>
      </c>
      <c r="J298" s="1">
        <v>0</v>
      </c>
      <c r="K298" s="1">
        <v>0</v>
      </c>
      <c r="L298" s="1">
        <v>0</v>
      </c>
      <c r="M298" s="1">
        <v>1</v>
      </c>
      <c r="N298" s="1">
        <f t="shared" si="4"/>
        <v>1</v>
      </c>
      <c r="O298" s="1">
        <v>0</v>
      </c>
      <c r="P298" s="1"/>
      <c r="Q298" s="1">
        <v>54.8</v>
      </c>
    </row>
    <row r="299" spans="1:17">
      <c r="A299" s="1" t="s">
        <v>342</v>
      </c>
      <c r="B299" s="4">
        <v>45791</v>
      </c>
      <c r="C299" s="1" t="s">
        <v>1</v>
      </c>
      <c r="D299" s="1" t="s">
        <v>31</v>
      </c>
      <c r="E299" s="1" t="s">
        <v>47</v>
      </c>
      <c r="F299" s="1" t="s">
        <v>33</v>
      </c>
      <c r="G299" s="1" t="s">
        <v>34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f t="shared" si="4"/>
        <v>0</v>
      </c>
      <c r="O299" s="1">
        <v>0</v>
      </c>
      <c r="P299" s="1"/>
      <c r="Q299" s="1">
        <v>40.799999999999997</v>
      </c>
    </row>
    <row r="300" spans="1:17">
      <c r="A300" s="1" t="s">
        <v>343</v>
      </c>
      <c r="B300" s="4">
        <v>45707</v>
      </c>
      <c r="C300" s="1" t="s">
        <v>1</v>
      </c>
      <c r="D300" s="1" t="s">
        <v>41</v>
      </c>
      <c r="E300" s="1" t="s">
        <v>37</v>
      </c>
      <c r="F300" s="1" t="s">
        <v>42</v>
      </c>
      <c r="G300" s="1" t="s">
        <v>39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f t="shared" si="4"/>
        <v>0</v>
      </c>
      <c r="O300" s="1">
        <v>0</v>
      </c>
      <c r="P300" s="1"/>
      <c r="Q300" s="1">
        <v>48.8</v>
      </c>
    </row>
    <row r="301" spans="1:17">
      <c r="A301" s="1" t="s">
        <v>344</v>
      </c>
      <c r="B301" s="4">
        <v>45681</v>
      </c>
      <c r="C301" s="1" t="s">
        <v>1</v>
      </c>
      <c r="D301" s="1" t="s">
        <v>45</v>
      </c>
      <c r="E301" s="1" t="s">
        <v>37</v>
      </c>
      <c r="F301" s="1"/>
      <c r="G301" s="1" t="s">
        <v>34</v>
      </c>
      <c r="H301" s="1">
        <v>1</v>
      </c>
      <c r="I301" s="1">
        <v>1</v>
      </c>
      <c r="J301" s="1">
        <v>1</v>
      </c>
      <c r="K301" s="1">
        <v>1</v>
      </c>
      <c r="L301" s="1">
        <v>1198.69</v>
      </c>
      <c r="M301" s="1">
        <v>1</v>
      </c>
      <c r="N301" s="1">
        <f t="shared" si="4"/>
        <v>1</v>
      </c>
      <c r="O301" s="1">
        <v>0</v>
      </c>
      <c r="P301" s="1">
        <v>6</v>
      </c>
      <c r="Q301" s="1">
        <v>88.9</v>
      </c>
    </row>
    <row r="302" spans="1:17">
      <c r="A302" s="1" t="s">
        <v>345</v>
      </c>
      <c r="B302" s="4">
        <v>45786</v>
      </c>
      <c r="C302" s="1" t="s">
        <v>1</v>
      </c>
      <c r="D302" s="1" t="s">
        <v>31</v>
      </c>
      <c r="E302" s="1" t="s">
        <v>37</v>
      </c>
      <c r="F302" s="1" t="s">
        <v>33</v>
      </c>
      <c r="G302" s="1" t="s">
        <v>34</v>
      </c>
      <c r="H302" s="1">
        <v>1</v>
      </c>
      <c r="I302" s="1">
        <v>1</v>
      </c>
      <c r="J302" s="1">
        <v>1</v>
      </c>
      <c r="K302" s="1">
        <v>0</v>
      </c>
      <c r="L302" s="1">
        <v>0</v>
      </c>
      <c r="M302" s="1">
        <v>1</v>
      </c>
      <c r="N302" s="1">
        <f t="shared" si="4"/>
        <v>1</v>
      </c>
      <c r="O302" s="1">
        <v>0</v>
      </c>
      <c r="P302" s="1"/>
      <c r="Q302" s="1">
        <v>60.5</v>
      </c>
    </row>
    <row r="303" spans="1:17">
      <c r="A303" s="1" t="s">
        <v>346</v>
      </c>
      <c r="B303" s="4">
        <v>45699</v>
      </c>
      <c r="C303" s="1" t="s">
        <v>1</v>
      </c>
      <c r="D303" s="1" t="s">
        <v>31</v>
      </c>
      <c r="E303" s="1" t="s">
        <v>37</v>
      </c>
      <c r="F303" s="1" t="s">
        <v>38</v>
      </c>
      <c r="G303" s="1" t="s">
        <v>34</v>
      </c>
      <c r="H303" s="1">
        <v>1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f t="shared" si="4"/>
        <v>0</v>
      </c>
      <c r="O303" s="1">
        <v>0</v>
      </c>
      <c r="P303" s="1"/>
      <c r="Q303" s="1">
        <v>63.6</v>
      </c>
    </row>
    <row r="304" spans="1:17">
      <c r="A304" s="1" t="s">
        <v>347</v>
      </c>
      <c r="B304" s="4">
        <v>45714</v>
      </c>
      <c r="C304" s="1" t="s">
        <v>1</v>
      </c>
      <c r="D304" s="1" t="s">
        <v>31</v>
      </c>
      <c r="E304" s="1" t="s">
        <v>32</v>
      </c>
      <c r="F304" s="1" t="s">
        <v>38</v>
      </c>
      <c r="G304" s="1" t="s">
        <v>34</v>
      </c>
      <c r="H304" s="1">
        <v>1</v>
      </c>
      <c r="I304" s="1">
        <v>1</v>
      </c>
      <c r="J304" s="1">
        <v>1</v>
      </c>
      <c r="K304" s="1">
        <v>1</v>
      </c>
      <c r="L304" s="1">
        <v>6788.95</v>
      </c>
      <c r="M304" s="1">
        <v>0</v>
      </c>
      <c r="N304" s="1">
        <f t="shared" si="4"/>
        <v>0</v>
      </c>
      <c r="O304" s="1">
        <v>0</v>
      </c>
      <c r="P304" s="1">
        <v>17</v>
      </c>
      <c r="Q304" s="1">
        <v>58.4</v>
      </c>
    </row>
    <row r="305" spans="1:17">
      <c r="A305" s="1" t="s">
        <v>348</v>
      </c>
      <c r="B305" s="4">
        <v>45700</v>
      </c>
      <c r="C305" s="1" t="s">
        <v>1</v>
      </c>
      <c r="D305" s="1" t="s">
        <v>45</v>
      </c>
      <c r="E305" s="1" t="s">
        <v>37</v>
      </c>
      <c r="F305" s="1" t="s">
        <v>54</v>
      </c>
      <c r="G305" s="1" t="s">
        <v>43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f t="shared" si="4"/>
        <v>0</v>
      </c>
      <c r="O305" s="1">
        <v>0</v>
      </c>
      <c r="P305" s="1"/>
      <c r="Q305" s="1">
        <v>52.7</v>
      </c>
    </row>
    <row r="306" spans="1:17">
      <c r="A306" s="1" t="s">
        <v>349</v>
      </c>
      <c r="B306" s="4">
        <v>45662</v>
      </c>
      <c r="C306" s="1" t="s">
        <v>1</v>
      </c>
      <c r="D306" s="1" t="s">
        <v>45</v>
      </c>
      <c r="E306" s="1" t="s">
        <v>47</v>
      </c>
      <c r="F306" s="1" t="s">
        <v>54</v>
      </c>
      <c r="G306" s="1" t="s">
        <v>43</v>
      </c>
      <c r="H306" s="1">
        <v>1</v>
      </c>
      <c r="I306" s="1">
        <v>1</v>
      </c>
      <c r="J306" s="1">
        <v>1</v>
      </c>
      <c r="K306" s="1">
        <v>0</v>
      </c>
      <c r="L306" s="1">
        <v>0</v>
      </c>
      <c r="M306" s="1">
        <v>2</v>
      </c>
      <c r="N306" s="1">
        <f t="shared" si="4"/>
        <v>1</v>
      </c>
      <c r="O306" s="1">
        <v>0</v>
      </c>
      <c r="P306" s="1"/>
      <c r="Q306" s="1">
        <v>48.9</v>
      </c>
    </row>
    <row r="307" spans="1:17">
      <c r="A307" s="1" t="s">
        <v>350</v>
      </c>
      <c r="B307" s="4">
        <v>45796</v>
      </c>
      <c r="C307" s="1" t="s">
        <v>1</v>
      </c>
      <c r="D307" s="1" t="s">
        <v>36</v>
      </c>
      <c r="E307" s="1" t="s">
        <v>37</v>
      </c>
      <c r="F307" s="1" t="s">
        <v>38</v>
      </c>
      <c r="G307" s="1" t="s">
        <v>43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f t="shared" si="4"/>
        <v>0</v>
      </c>
      <c r="O307" s="1">
        <v>0</v>
      </c>
      <c r="P307" s="1"/>
      <c r="Q307" s="1">
        <v>79.7</v>
      </c>
    </row>
    <row r="308" spans="1:17">
      <c r="A308" s="1" t="s">
        <v>351</v>
      </c>
      <c r="B308" s="4">
        <v>45690</v>
      </c>
      <c r="C308" s="1" t="s">
        <v>1</v>
      </c>
      <c r="D308" s="1" t="s">
        <v>31</v>
      </c>
      <c r="E308" s="1" t="s">
        <v>37</v>
      </c>
      <c r="F308" s="1" t="s">
        <v>54</v>
      </c>
      <c r="G308" s="1" t="s">
        <v>39</v>
      </c>
      <c r="H308" s="1">
        <v>1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f t="shared" si="4"/>
        <v>0</v>
      </c>
      <c r="O308" s="1">
        <v>0</v>
      </c>
      <c r="P308" s="1"/>
      <c r="Q308" s="1">
        <v>44.9</v>
      </c>
    </row>
    <row r="309" spans="1:17">
      <c r="A309" s="1" t="s">
        <v>352</v>
      </c>
      <c r="B309" s="4">
        <v>45687</v>
      </c>
      <c r="C309" s="1" t="s">
        <v>1</v>
      </c>
      <c r="D309" s="1" t="s">
        <v>36</v>
      </c>
      <c r="E309" s="1" t="s">
        <v>47</v>
      </c>
      <c r="F309" s="1" t="s">
        <v>42</v>
      </c>
      <c r="G309" s="1" t="s">
        <v>39</v>
      </c>
      <c r="H309" s="1">
        <v>1</v>
      </c>
      <c r="I309" s="1">
        <v>1</v>
      </c>
      <c r="J309" s="1">
        <v>1</v>
      </c>
      <c r="K309" s="1">
        <v>1</v>
      </c>
      <c r="L309" s="1">
        <v>409.39</v>
      </c>
      <c r="M309" s="1">
        <v>0</v>
      </c>
      <c r="N309" s="1">
        <f t="shared" si="4"/>
        <v>0</v>
      </c>
      <c r="O309" s="1">
        <v>0</v>
      </c>
      <c r="P309" s="1">
        <v>10</v>
      </c>
      <c r="Q309" s="1">
        <v>38.799999999999997</v>
      </c>
    </row>
    <row r="310" spans="1:17">
      <c r="A310" s="1" t="s">
        <v>353</v>
      </c>
      <c r="B310" s="4">
        <v>45778</v>
      </c>
      <c r="C310" s="1" t="s">
        <v>1</v>
      </c>
      <c r="D310" s="1" t="s">
        <v>45</v>
      </c>
      <c r="E310" s="1" t="s">
        <v>32</v>
      </c>
      <c r="F310" s="1" t="s">
        <v>33</v>
      </c>
      <c r="G310" s="1" t="s">
        <v>39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f t="shared" si="4"/>
        <v>0</v>
      </c>
      <c r="O310" s="1">
        <v>0</v>
      </c>
      <c r="P310" s="1"/>
      <c r="Q310" s="1">
        <v>70</v>
      </c>
    </row>
    <row r="311" spans="1:17">
      <c r="A311" s="1" t="s">
        <v>354</v>
      </c>
      <c r="B311" s="4">
        <v>45793</v>
      </c>
      <c r="C311" s="1" t="s">
        <v>1</v>
      </c>
      <c r="D311" s="1" t="s">
        <v>45</v>
      </c>
      <c r="E311" s="1" t="s">
        <v>32</v>
      </c>
      <c r="F311" s="1" t="s">
        <v>52</v>
      </c>
      <c r="G311" s="1" t="s">
        <v>34</v>
      </c>
      <c r="H311" s="1">
        <v>1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f t="shared" si="4"/>
        <v>0</v>
      </c>
      <c r="O311" s="1">
        <v>0</v>
      </c>
      <c r="P311" s="1"/>
      <c r="Q311" s="1">
        <v>77.7</v>
      </c>
    </row>
    <row r="312" spans="1:17">
      <c r="A312" s="1" t="s">
        <v>355</v>
      </c>
      <c r="B312" s="4">
        <v>45724</v>
      </c>
      <c r="C312" s="1" t="s">
        <v>1</v>
      </c>
      <c r="D312" s="1" t="s">
        <v>36</v>
      </c>
      <c r="E312" s="1" t="s">
        <v>37</v>
      </c>
      <c r="F312" s="1" t="s">
        <v>38</v>
      </c>
      <c r="G312" s="1" t="s">
        <v>39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f t="shared" si="4"/>
        <v>0</v>
      </c>
      <c r="O312" s="1">
        <v>0</v>
      </c>
      <c r="P312" s="1"/>
      <c r="Q312" s="1">
        <v>71.2</v>
      </c>
    </row>
    <row r="313" spans="1:17">
      <c r="A313" s="1" t="s">
        <v>356</v>
      </c>
      <c r="B313" s="4">
        <v>45751</v>
      </c>
      <c r="C313" s="1" t="s">
        <v>1</v>
      </c>
      <c r="D313" s="1" t="s">
        <v>31</v>
      </c>
      <c r="E313" s="1" t="s">
        <v>37</v>
      </c>
      <c r="F313" s="1" t="s">
        <v>38</v>
      </c>
      <c r="G313" s="1" t="s">
        <v>34</v>
      </c>
      <c r="H313" s="1">
        <v>1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f t="shared" si="4"/>
        <v>0</v>
      </c>
      <c r="O313" s="1">
        <v>0</v>
      </c>
      <c r="P313" s="1"/>
      <c r="Q313" s="1">
        <v>43.8</v>
      </c>
    </row>
    <row r="314" spans="1:17">
      <c r="A314" s="1" t="s">
        <v>357</v>
      </c>
      <c r="B314" s="4">
        <v>45807</v>
      </c>
      <c r="C314" s="1" t="s">
        <v>1</v>
      </c>
      <c r="D314" s="1" t="s">
        <v>45</v>
      </c>
      <c r="E314" s="1" t="s">
        <v>47</v>
      </c>
      <c r="F314" s="1" t="s">
        <v>38</v>
      </c>
      <c r="G314" s="1" t="s">
        <v>39</v>
      </c>
      <c r="H314" s="1">
        <v>1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f t="shared" si="4"/>
        <v>0</v>
      </c>
      <c r="O314" s="1">
        <v>0</v>
      </c>
      <c r="P314" s="1"/>
      <c r="Q314" s="1">
        <v>50.9</v>
      </c>
    </row>
    <row r="315" spans="1:17">
      <c r="A315" s="1" t="s">
        <v>358</v>
      </c>
      <c r="B315" s="4">
        <v>45662</v>
      </c>
      <c r="C315" s="1" t="s">
        <v>1</v>
      </c>
      <c r="D315" s="1" t="s">
        <v>36</v>
      </c>
      <c r="E315" s="1" t="s">
        <v>37</v>
      </c>
      <c r="F315" s="1" t="s">
        <v>38</v>
      </c>
      <c r="G315" s="1" t="s">
        <v>43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f t="shared" si="4"/>
        <v>0</v>
      </c>
      <c r="O315" s="1">
        <v>0</v>
      </c>
      <c r="P315" s="1"/>
      <c r="Q315" s="1">
        <v>58.5</v>
      </c>
    </row>
    <row r="316" spans="1:17">
      <c r="A316" s="1" t="s">
        <v>359</v>
      </c>
      <c r="B316" s="4">
        <v>45677</v>
      </c>
      <c r="C316" s="1" t="s">
        <v>1</v>
      </c>
      <c r="D316" s="1" t="s">
        <v>41</v>
      </c>
      <c r="E316" s="1" t="s">
        <v>37</v>
      </c>
      <c r="F316" s="1" t="s">
        <v>38</v>
      </c>
      <c r="G316" s="1" t="s">
        <v>39</v>
      </c>
      <c r="H316" s="1">
        <v>1</v>
      </c>
      <c r="I316" s="1">
        <v>1</v>
      </c>
      <c r="J316" s="1">
        <v>1</v>
      </c>
      <c r="K316" s="1">
        <v>0</v>
      </c>
      <c r="L316" s="1">
        <v>0</v>
      </c>
      <c r="M316" s="1">
        <v>0</v>
      </c>
      <c r="N316" s="1">
        <f t="shared" si="4"/>
        <v>0</v>
      </c>
      <c r="O316" s="1">
        <v>0</v>
      </c>
      <c r="P316" s="1"/>
      <c r="Q316" s="1">
        <v>53.6</v>
      </c>
    </row>
    <row r="317" spans="1:17">
      <c r="A317" s="1" t="s">
        <v>360</v>
      </c>
      <c r="B317" s="4">
        <v>45778</v>
      </c>
      <c r="C317" s="1" t="s">
        <v>1</v>
      </c>
      <c r="D317" s="1" t="s">
        <v>41</v>
      </c>
      <c r="E317" s="1" t="s">
        <v>37</v>
      </c>
      <c r="F317" s="1" t="s">
        <v>33</v>
      </c>
      <c r="G317" s="1" t="s">
        <v>39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f t="shared" si="4"/>
        <v>0</v>
      </c>
      <c r="O317" s="1">
        <v>0</v>
      </c>
      <c r="P317" s="1"/>
      <c r="Q317" s="1">
        <v>54.9</v>
      </c>
    </row>
    <row r="318" spans="1:17">
      <c r="A318" s="1" t="s">
        <v>361</v>
      </c>
      <c r="B318" s="4">
        <v>45721</v>
      </c>
      <c r="C318" s="1" t="s">
        <v>1</v>
      </c>
      <c r="D318" s="1" t="s">
        <v>31</v>
      </c>
      <c r="E318" s="1" t="s">
        <v>32</v>
      </c>
      <c r="F318" s="1" t="s">
        <v>38</v>
      </c>
      <c r="G318" s="1" t="s">
        <v>43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f t="shared" si="4"/>
        <v>0</v>
      </c>
      <c r="O318" s="1">
        <v>0</v>
      </c>
      <c r="P318" s="1"/>
      <c r="Q318" s="1">
        <v>57.3</v>
      </c>
    </row>
    <row r="319" spans="1:17">
      <c r="A319" s="1" t="s">
        <v>362</v>
      </c>
      <c r="B319" s="4">
        <v>45748</v>
      </c>
      <c r="C319" s="1" t="s">
        <v>1</v>
      </c>
      <c r="D319" s="1" t="s">
        <v>41</v>
      </c>
      <c r="E319" s="1" t="s">
        <v>32</v>
      </c>
      <c r="F319" s="1" t="s">
        <v>52</v>
      </c>
      <c r="G319" s="1" t="s">
        <v>39</v>
      </c>
      <c r="H319" s="1">
        <v>1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f t="shared" si="4"/>
        <v>0</v>
      </c>
      <c r="O319" s="1">
        <v>0</v>
      </c>
      <c r="P319" s="1"/>
      <c r="Q319" s="1">
        <v>52.1</v>
      </c>
    </row>
    <row r="320" spans="1:17">
      <c r="A320" s="1" t="s">
        <v>363</v>
      </c>
      <c r="B320" s="4">
        <v>45780</v>
      </c>
      <c r="C320" s="1" t="s">
        <v>1</v>
      </c>
      <c r="D320" s="1" t="s">
        <v>31</v>
      </c>
      <c r="E320" s="1" t="s">
        <v>37</v>
      </c>
      <c r="F320" s="1" t="s">
        <v>38</v>
      </c>
      <c r="G320" s="1" t="s">
        <v>39</v>
      </c>
      <c r="H320" s="1">
        <v>1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f t="shared" si="4"/>
        <v>0</v>
      </c>
      <c r="O320" s="1">
        <v>0</v>
      </c>
      <c r="P320" s="1"/>
      <c r="Q320" s="1">
        <v>80</v>
      </c>
    </row>
    <row r="321" spans="1:17">
      <c r="A321" s="1" t="s">
        <v>364</v>
      </c>
      <c r="B321" s="4">
        <v>45722</v>
      </c>
      <c r="C321" s="1" t="s">
        <v>1</v>
      </c>
      <c r="D321" s="1" t="s">
        <v>45</v>
      </c>
      <c r="E321" s="1" t="s">
        <v>32</v>
      </c>
      <c r="F321" s="1" t="s">
        <v>42</v>
      </c>
      <c r="G321" s="1" t="s">
        <v>43</v>
      </c>
      <c r="H321" s="1">
        <v>1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f t="shared" si="4"/>
        <v>0</v>
      </c>
      <c r="O321" s="1">
        <v>0</v>
      </c>
      <c r="P321" s="1"/>
      <c r="Q321" s="1">
        <v>39.299999999999997</v>
      </c>
    </row>
    <row r="322" spans="1:17">
      <c r="A322" s="1" t="s">
        <v>365</v>
      </c>
      <c r="B322" s="4">
        <v>45748</v>
      </c>
      <c r="C322" s="1" t="s">
        <v>1</v>
      </c>
      <c r="D322" s="1" t="s">
        <v>31</v>
      </c>
      <c r="E322" s="1" t="s">
        <v>32</v>
      </c>
      <c r="F322" s="1" t="s">
        <v>52</v>
      </c>
      <c r="G322" s="1" t="s">
        <v>43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f t="shared" si="4"/>
        <v>0</v>
      </c>
      <c r="O322" s="1">
        <v>0</v>
      </c>
      <c r="P322" s="1"/>
      <c r="Q322" s="1">
        <v>45.7</v>
      </c>
    </row>
    <row r="323" spans="1:17">
      <c r="A323" s="1" t="s">
        <v>366</v>
      </c>
      <c r="B323" s="4">
        <v>45697</v>
      </c>
      <c r="C323" s="1" t="s">
        <v>1</v>
      </c>
      <c r="D323" s="1" t="s">
        <v>31</v>
      </c>
      <c r="E323" s="1" t="s">
        <v>32</v>
      </c>
      <c r="F323" s="1" t="s">
        <v>54</v>
      </c>
      <c r="G323" s="1" t="s">
        <v>34</v>
      </c>
      <c r="H323" s="1">
        <v>1</v>
      </c>
      <c r="I323" s="1">
        <v>0</v>
      </c>
      <c r="J323" s="1">
        <v>0</v>
      </c>
      <c r="K323" s="1">
        <v>0</v>
      </c>
      <c r="L323" s="1">
        <v>0</v>
      </c>
      <c r="M323" s="1">
        <v>2</v>
      </c>
      <c r="N323" s="1">
        <f t="shared" ref="N323:N386" si="5">IF(M323&gt;0,1,0)</f>
        <v>1</v>
      </c>
      <c r="O323" s="1">
        <v>0</v>
      </c>
      <c r="P323" s="1"/>
      <c r="Q323" s="1">
        <v>61.2</v>
      </c>
    </row>
    <row r="324" spans="1:17">
      <c r="A324" s="1" t="s">
        <v>367</v>
      </c>
      <c r="B324" s="4">
        <v>45759</v>
      </c>
      <c r="C324" s="1" t="s">
        <v>1</v>
      </c>
      <c r="D324" s="1" t="s">
        <v>36</v>
      </c>
      <c r="E324" s="1" t="s">
        <v>37</v>
      </c>
      <c r="F324" s="1" t="s">
        <v>38</v>
      </c>
      <c r="G324" s="1" t="s">
        <v>34</v>
      </c>
      <c r="H324" s="1">
        <v>1</v>
      </c>
      <c r="I324" s="1">
        <v>1</v>
      </c>
      <c r="J324" s="1">
        <v>0</v>
      </c>
      <c r="K324" s="1">
        <v>0</v>
      </c>
      <c r="L324" s="1">
        <v>0</v>
      </c>
      <c r="M324" s="1">
        <v>0</v>
      </c>
      <c r="N324" s="1">
        <f t="shared" si="5"/>
        <v>0</v>
      </c>
      <c r="O324" s="1">
        <v>0</v>
      </c>
      <c r="P324" s="1"/>
      <c r="Q324" s="1">
        <v>66.2</v>
      </c>
    </row>
    <row r="325" spans="1:17">
      <c r="A325" s="1" t="s">
        <v>368</v>
      </c>
      <c r="B325" s="4">
        <v>45734</v>
      </c>
      <c r="C325" s="1" t="s">
        <v>1</v>
      </c>
      <c r="D325" s="1" t="s">
        <v>41</v>
      </c>
      <c r="E325" s="1" t="s">
        <v>37</v>
      </c>
      <c r="F325" s="1" t="s">
        <v>54</v>
      </c>
      <c r="G325" s="1" t="s">
        <v>39</v>
      </c>
      <c r="H325" s="1">
        <v>1</v>
      </c>
      <c r="I325" s="1">
        <v>1</v>
      </c>
      <c r="J325" s="1">
        <v>1</v>
      </c>
      <c r="K325" s="1">
        <v>0</v>
      </c>
      <c r="L325" s="1">
        <v>0</v>
      </c>
      <c r="M325" s="1">
        <v>0</v>
      </c>
      <c r="N325" s="1">
        <f t="shared" si="5"/>
        <v>0</v>
      </c>
      <c r="O325" s="1">
        <v>0</v>
      </c>
      <c r="P325" s="1"/>
      <c r="Q325" s="1">
        <v>61.3</v>
      </c>
    </row>
    <row r="326" spans="1:17">
      <c r="A326" s="1" t="s">
        <v>369</v>
      </c>
      <c r="B326" s="4">
        <v>45750</v>
      </c>
      <c r="C326" s="1" t="s">
        <v>1</v>
      </c>
      <c r="D326" s="1" t="s">
        <v>41</v>
      </c>
      <c r="E326" s="1" t="s">
        <v>37</v>
      </c>
      <c r="F326" s="1" t="s">
        <v>42</v>
      </c>
      <c r="G326" s="1" t="s">
        <v>39</v>
      </c>
      <c r="H326" s="1">
        <v>1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f t="shared" si="5"/>
        <v>0</v>
      </c>
      <c r="O326" s="1">
        <v>0</v>
      </c>
      <c r="P326" s="1"/>
      <c r="Q326" s="1">
        <v>72.2</v>
      </c>
    </row>
    <row r="327" spans="1:17">
      <c r="A327" s="1" t="s">
        <v>370</v>
      </c>
      <c r="B327" s="4">
        <v>45749</v>
      </c>
      <c r="C327" s="1" t="s">
        <v>1</v>
      </c>
      <c r="D327" s="1" t="s">
        <v>36</v>
      </c>
      <c r="E327" s="1" t="s">
        <v>37</v>
      </c>
      <c r="F327" s="1" t="s">
        <v>33</v>
      </c>
      <c r="G327" s="1" t="s">
        <v>43</v>
      </c>
      <c r="H327" s="1">
        <v>1</v>
      </c>
      <c r="I327" s="1">
        <v>1</v>
      </c>
      <c r="J327" s="1">
        <v>1</v>
      </c>
      <c r="K327" s="1">
        <v>0</v>
      </c>
      <c r="L327" s="1">
        <v>0</v>
      </c>
      <c r="M327" s="1">
        <v>0</v>
      </c>
      <c r="N327" s="1">
        <f t="shared" si="5"/>
        <v>0</v>
      </c>
      <c r="O327" s="1">
        <v>0</v>
      </c>
      <c r="P327" s="1"/>
      <c r="Q327" s="1">
        <v>84</v>
      </c>
    </row>
    <row r="328" spans="1:17">
      <c r="A328" s="1" t="s">
        <v>371</v>
      </c>
      <c r="B328" s="4">
        <v>45787</v>
      </c>
      <c r="C328" s="1" t="s">
        <v>1</v>
      </c>
      <c r="D328" s="1" t="s">
        <v>36</v>
      </c>
      <c r="E328" s="1" t="s">
        <v>32</v>
      </c>
      <c r="F328" s="1" t="s">
        <v>33</v>
      </c>
      <c r="G328" s="1" t="s">
        <v>34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f t="shared" si="5"/>
        <v>0</v>
      </c>
      <c r="O328" s="1">
        <v>0</v>
      </c>
      <c r="P328" s="1"/>
      <c r="Q328" s="1">
        <v>59.8</v>
      </c>
    </row>
    <row r="329" spans="1:17">
      <c r="A329" s="1" t="s">
        <v>372</v>
      </c>
      <c r="B329" s="4">
        <v>45776</v>
      </c>
      <c r="C329" s="1" t="s">
        <v>1</v>
      </c>
      <c r="D329" s="1" t="s">
        <v>36</v>
      </c>
      <c r="E329" s="1" t="s">
        <v>32</v>
      </c>
      <c r="F329" s="1" t="s">
        <v>42</v>
      </c>
      <c r="G329" s="1" t="s">
        <v>39</v>
      </c>
      <c r="H329" s="1">
        <v>1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f t="shared" si="5"/>
        <v>0</v>
      </c>
      <c r="O329" s="1">
        <v>0</v>
      </c>
      <c r="P329" s="1"/>
      <c r="Q329" s="1">
        <v>64.900000000000006</v>
      </c>
    </row>
    <row r="330" spans="1:17">
      <c r="A330" s="1" t="s">
        <v>373</v>
      </c>
      <c r="B330" s="4">
        <v>45715</v>
      </c>
      <c r="C330" s="1" t="s">
        <v>1</v>
      </c>
      <c r="D330" s="1" t="s">
        <v>45</v>
      </c>
      <c r="E330" s="1" t="s">
        <v>37</v>
      </c>
      <c r="F330" s="1" t="s">
        <v>42</v>
      </c>
      <c r="G330" s="1" t="s">
        <v>39</v>
      </c>
      <c r="H330" s="1">
        <v>1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f t="shared" si="5"/>
        <v>0</v>
      </c>
      <c r="O330" s="1">
        <v>0</v>
      </c>
      <c r="P330" s="1"/>
      <c r="Q330" s="1">
        <v>66.8</v>
      </c>
    </row>
    <row r="331" spans="1:17">
      <c r="A331" s="1" t="s">
        <v>374</v>
      </c>
      <c r="B331" s="4">
        <v>45757</v>
      </c>
      <c r="C331" s="1" t="s">
        <v>1</v>
      </c>
      <c r="D331" s="1" t="s">
        <v>31</v>
      </c>
      <c r="E331" s="1" t="s">
        <v>32</v>
      </c>
      <c r="F331" s="1" t="s">
        <v>38</v>
      </c>
      <c r="G331" s="1" t="s">
        <v>43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f t="shared" si="5"/>
        <v>0</v>
      </c>
      <c r="O331" s="1">
        <v>0</v>
      </c>
      <c r="P331" s="1"/>
      <c r="Q331" s="1">
        <v>70.900000000000006</v>
      </c>
    </row>
    <row r="332" spans="1:17">
      <c r="A332" s="1" t="s">
        <v>375</v>
      </c>
      <c r="B332" s="4">
        <v>45701</v>
      </c>
      <c r="C332" s="1" t="s">
        <v>1</v>
      </c>
      <c r="D332" s="1" t="s">
        <v>41</v>
      </c>
      <c r="E332" s="1" t="s">
        <v>37</v>
      </c>
      <c r="F332" s="1" t="s">
        <v>38</v>
      </c>
      <c r="G332" s="1" t="s">
        <v>39</v>
      </c>
      <c r="H332" s="1">
        <v>1</v>
      </c>
      <c r="I332" s="1">
        <v>1</v>
      </c>
      <c r="J332" s="1">
        <v>1</v>
      </c>
      <c r="K332" s="1">
        <v>1</v>
      </c>
      <c r="L332" s="1">
        <v>426.82</v>
      </c>
      <c r="M332" s="1">
        <v>1</v>
      </c>
      <c r="N332" s="1">
        <f t="shared" si="5"/>
        <v>1</v>
      </c>
      <c r="O332" s="1">
        <v>0</v>
      </c>
      <c r="P332" s="1">
        <v>14</v>
      </c>
      <c r="Q332" s="1">
        <v>68.8</v>
      </c>
    </row>
    <row r="333" spans="1:17">
      <c r="A333" s="1" t="s">
        <v>376</v>
      </c>
      <c r="B333" s="4">
        <v>45780</v>
      </c>
      <c r="C333" s="1" t="s">
        <v>1</v>
      </c>
      <c r="D333" s="1" t="s">
        <v>31</v>
      </c>
      <c r="E333" s="1" t="s">
        <v>37</v>
      </c>
      <c r="F333" s="1" t="s">
        <v>38</v>
      </c>
      <c r="G333" s="1" t="s">
        <v>34</v>
      </c>
      <c r="H333" s="1">
        <v>1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f t="shared" si="5"/>
        <v>0</v>
      </c>
      <c r="O333" s="1">
        <v>0</v>
      </c>
      <c r="P333" s="1"/>
      <c r="Q333" s="1">
        <v>72.400000000000006</v>
      </c>
    </row>
    <row r="334" spans="1:17">
      <c r="A334" s="1" t="s">
        <v>377</v>
      </c>
      <c r="B334" s="4">
        <v>45726</v>
      </c>
      <c r="C334" s="1" t="s">
        <v>1</v>
      </c>
      <c r="D334" s="1" t="s">
        <v>41</v>
      </c>
      <c r="E334" s="1" t="s">
        <v>37</v>
      </c>
      <c r="F334" s="1" t="s">
        <v>38</v>
      </c>
      <c r="G334" s="1" t="s">
        <v>34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f t="shared" si="5"/>
        <v>0</v>
      </c>
      <c r="O334" s="1">
        <v>0</v>
      </c>
      <c r="P334" s="1"/>
      <c r="Q334" s="1">
        <v>63.3</v>
      </c>
    </row>
    <row r="335" spans="1:17">
      <c r="A335" s="1" t="s">
        <v>378</v>
      </c>
      <c r="B335" s="4">
        <v>45667</v>
      </c>
      <c r="C335" s="1" t="s">
        <v>1</v>
      </c>
      <c r="D335" s="1" t="s">
        <v>36</v>
      </c>
      <c r="E335" s="1" t="s">
        <v>47</v>
      </c>
      <c r="F335" s="1" t="s">
        <v>54</v>
      </c>
      <c r="G335" s="1" t="s">
        <v>39</v>
      </c>
      <c r="H335" s="1">
        <v>1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f t="shared" si="5"/>
        <v>0</v>
      </c>
      <c r="O335" s="1">
        <v>0</v>
      </c>
      <c r="P335" s="1"/>
      <c r="Q335" s="1">
        <v>30.8</v>
      </c>
    </row>
    <row r="336" spans="1:17">
      <c r="A336" s="1" t="s">
        <v>379</v>
      </c>
      <c r="B336" s="4">
        <v>45673</v>
      </c>
      <c r="C336" s="1" t="s">
        <v>1</v>
      </c>
      <c r="D336" s="1" t="s">
        <v>45</v>
      </c>
      <c r="E336" s="1" t="s">
        <v>37</v>
      </c>
      <c r="F336" s="1" t="s">
        <v>33</v>
      </c>
      <c r="G336" s="1" t="s">
        <v>34</v>
      </c>
      <c r="H336" s="1">
        <v>1</v>
      </c>
      <c r="I336" s="1">
        <v>1</v>
      </c>
      <c r="J336" s="1">
        <v>1</v>
      </c>
      <c r="K336" s="1">
        <v>1</v>
      </c>
      <c r="L336" s="1">
        <v>874.55</v>
      </c>
      <c r="M336" s="1">
        <v>0</v>
      </c>
      <c r="N336" s="1">
        <f t="shared" si="5"/>
        <v>0</v>
      </c>
      <c r="O336" s="1">
        <v>0</v>
      </c>
      <c r="P336" s="1">
        <v>9</v>
      </c>
      <c r="Q336" s="1">
        <v>44.2</v>
      </c>
    </row>
    <row r="337" spans="1:17">
      <c r="A337" s="1" t="s">
        <v>380</v>
      </c>
      <c r="B337" s="4">
        <v>45699</v>
      </c>
      <c r="C337" s="1" t="s">
        <v>1</v>
      </c>
      <c r="D337" s="1" t="s">
        <v>45</v>
      </c>
      <c r="E337" s="1" t="s">
        <v>32</v>
      </c>
      <c r="F337" s="1" t="s">
        <v>38</v>
      </c>
      <c r="G337" s="1" t="s">
        <v>43</v>
      </c>
      <c r="H337" s="1">
        <v>1</v>
      </c>
      <c r="I337" s="1">
        <v>1</v>
      </c>
      <c r="J337" s="1">
        <v>1</v>
      </c>
      <c r="K337" s="1">
        <v>1</v>
      </c>
      <c r="L337" s="1">
        <v>2206.88</v>
      </c>
      <c r="M337" s="1">
        <v>0</v>
      </c>
      <c r="N337" s="1">
        <f t="shared" si="5"/>
        <v>0</v>
      </c>
      <c r="O337" s="1">
        <v>0</v>
      </c>
      <c r="P337" s="1">
        <v>10</v>
      </c>
      <c r="Q337" s="1">
        <v>56.2</v>
      </c>
    </row>
    <row r="338" spans="1:17">
      <c r="A338" s="1" t="s">
        <v>381</v>
      </c>
      <c r="B338" s="4">
        <v>45760</v>
      </c>
      <c r="C338" s="1" t="s">
        <v>1</v>
      </c>
      <c r="D338" s="1" t="s">
        <v>36</v>
      </c>
      <c r="E338" s="1" t="s">
        <v>37</v>
      </c>
      <c r="F338" s="1" t="s">
        <v>38</v>
      </c>
      <c r="G338" s="1" t="s">
        <v>39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f t="shared" si="5"/>
        <v>0</v>
      </c>
      <c r="O338" s="1">
        <v>0</v>
      </c>
      <c r="P338" s="1"/>
      <c r="Q338" s="1">
        <v>40.4</v>
      </c>
    </row>
    <row r="339" spans="1:17">
      <c r="A339" s="1" t="s">
        <v>382</v>
      </c>
      <c r="B339" s="4">
        <v>45696</v>
      </c>
      <c r="C339" s="1" t="s">
        <v>1</v>
      </c>
      <c r="D339" s="1" t="s">
        <v>41</v>
      </c>
      <c r="E339" s="1" t="s">
        <v>37</v>
      </c>
      <c r="F339" s="1" t="s">
        <v>42</v>
      </c>
      <c r="G339" s="1" t="s">
        <v>39</v>
      </c>
      <c r="H339" s="1">
        <v>1</v>
      </c>
      <c r="I339" s="1">
        <v>1</v>
      </c>
      <c r="J339" s="1">
        <v>1</v>
      </c>
      <c r="K339" s="1">
        <v>0</v>
      </c>
      <c r="L339" s="1">
        <v>0</v>
      </c>
      <c r="M339" s="1">
        <v>0</v>
      </c>
      <c r="N339" s="1">
        <f t="shared" si="5"/>
        <v>0</v>
      </c>
      <c r="O339" s="1">
        <v>0</v>
      </c>
      <c r="P339" s="1"/>
      <c r="Q339" s="1">
        <v>68.099999999999994</v>
      </c>
    </row>
    <row r="340" spans="1:17">
      <c r="A340" s="1" t="s">
        <v>383</v>
      </c>
      <c r="B340" s="4">
        <v>45747</v>
      </c>
      <c r="C340" s="1" t="s">
        <v>1</v>
      </c>
      <c r="D340" s="1" t="s">
        <v>36</v>
      </c>
      <c r="E340" s="1" t="s">
        <v>32</v>
      </c>
      <c r="F340" s="1" t="s">
        <v>52</v>
      </c>
      <c r="G340" s="1" t="s">
        <v>39</v>
      </c>
      <c r="H340" s="1">
        <v>1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f t="shared" si="5"/>
        <v>0</v>
      </c>
      <c r="O340" s="1">
        <v>0</v>
      </c>
      <c r="P340" s="1"/>
      <c r="Q340" s="1">
        <v>86.3</v>
      </c>
    </row>
    <row r="341" spans="1:17">
      <c r="A341" s="1" t="s">
        <v>384</v>
      </c>
      <c r="B341" s="4">
        <v>45688</v>
      </c>
      <c r="C341" s="1" t="s">
        <v>1</v>
      </c>
      <c r="D341" s="1" t="s">
        <v>36</v>
      </c>
      <c r="E341" s="1" t="s">
        <v>32</v>
      </c>
      <c r="F341" s="1" t="s">
        <v>52</v>
      </c>
      <c r="G341" s="1" t="s">
        <v>39</v>
      </c>
      <c r="H341" s="1">
        <v>1</v>
      </c>
      <c r="I341" s="1">
        <v>1</v>
      </c>
      <c r="J341" s="1">
        <v>0</v>
      </c>
      <c r="K341" s="1">
        <v>0</v>
      </c>
      <c r="L341" s="1">
        <v>0</v>
      </c>
      <c r="M341" s="1">
        <v>0</v>
      </c>
      <c r="N341" s="1">
        <f t="shared" si="5"/>
        <v>0</v>
      </c>
      <c r="O341" s="1">
        <v>0</v>
      </c>
      <c r="P341" s="1"/>
      <c r="Q341" s="1">
        <v>42.9</v>
      </c>
    </row>
    <row r="342" spans="1:17">
      <c r="A342" s="1" t="s">
        <v>385</v>
      </c>
      <c r="B342" s="4">
        <v>45785</v>
      </c>
      <c r="C342" s="1" t="s">
        <v>1</v>
      </c>
      <c r="D342" s="1" t="s">
        <v>36</v>
      </c>
      <c r="E342" s="1" t="s">
        <v>47</v>
      </c>
      <c r="F342" s="1" t="s">
        <v>38</v>
      </c>
      <c r="G342" s="1" t="s">
        <v>39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f t="shared" si="5"/>
        <v>0</v>
      </c>
      <c r="O342" s="1">
        <v>0</v>
      </c>
      <c r="P342" s="1"/>
      <c r="Q342" s="1">
        <v>61.4</v>
      </c>
    </row>
    <row r="343" spans="1:17">
      <c r="A343" s="1" t="s">
        <v>386</v>
      </c>
      <c r="B343" s="4">
        <v>45731</v>
      </c>
      <c r="C343" s="1" t="s">
        <v>1</v>
      </c>
      <c r="D343" s="1" t="s">
        <v>31</v>
      </c>
      <c r="E343" s="1" t="s">
        <v>37</v>
      </c>
      <c r="F343" s="1" t="s">
        <v>42</v>
      </c>
      <c r="G343" s="1" t="s">
        <v>39</v>
      </c>
      <c r="H343" s="1">
        <v>1</v>
      </c>
      <c r="I343" s="1">
        <v>0</v>
      </c>
      <c r="J343" s="1">
        <v>0</v>
      </c>
      <c r="K343" s="1">
        <v>0</v>
      </c>
      <c r="L343" s="1">
        <v>0</v>
      </c>
      <c r="M343" s="1">
        <v>1</v>
      </c>
      <c r="N343" s="1">
        <f t="shared" si="5"/>
        <v>1</v>
      </c>
      <c r="O343" s="1">
        <v>0</v>
      </c>
      <c r="P343" s="1"/>
      <c r="Q343" s="1">
        <v>73.3</v>
      </c>
    </row>
    <row r="344" spans="1:17">
      <c r="A344" s="1" t="s">
        <v>387</v>
      </c>
      <c r="B344" s="4">
        <v>45670</v>
      </c>
      <c r="C344" s="1" t="s">
        <v>1</v>
      </c>
      <c r="D344" s="1" t="s">
        <v>45</v>
      </c>
      <c r="E344" s="1" t="s">
        <v>37</v>
      </c>
      <c r="F344" s="1" t="s">
        <v>52</v>
      </c>
      <c r="G344" s="1" t="s">
        <v>34</v>
      </c>
      <c r="H344" s="1">
        <v>1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f t="shared" si="5"/>
        <v>0</v>
      </c>
      <c r="O344" s="1">
        <v>0</v>
      </c>
      <c r="P344" s="1"/>
      <c r="Q344" s="1">
        <v>59.4</v>
      </c>
    </row>
    <row r="345" spans="1:17">
      <c r="A345" s="1" t="s">
        <v>388</v>
      </c>
      <c r="B345" s="4">
        <v>45723</v>
      </c>
      <c r="C345" s="1" t="s">
        <v>1</v>
      </c>
      <c r="D345" s="1" t="s">
        <v>45</v>
      </c>
      <c r="E345" s="1" t="s">
        <v>47</v>
      </c>
      <c r="F345" s="1" t="s">
        <v>38</v>
      </c>
      <c r="G345" s="1" t="s">
        <v>34</v>
      </c>
      <c r="H345" s="1">
        <v>1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f t="shared" si="5"/>
        <v>0</v>
      </c>
      <c r="O345" s="1">
        <v>0</v>
      </c>
      <c r="P345" s="1"/>
      <c r="Q345" s="1">
        <v>35.200000000000003</v>
      </c>
    </row>
    <row r="346" spans="1:17">
      <c r="A346" s="1" t="s">
        <v>389</v>
      </c>
      <c r="B346" s="4">
        <v>45698</v>
      </c>
      <c r="C346" s="1" t="s">
        <v>1</v>
      </c>
      <c r="D346" s="1" t="s">
        <v>45</v>
      </c>
      <c r="E346" s="1" t="s">
        <v>37</v>
      </c>
      <c r="F346" s="1" t="s">
        <v>54</v>
      </c>
      <c r="G346" s="1" t="s">
        <v>43</v>
      </c>
      <c r="H346" s="1">
        <v>1</v>
      </c>
      <c r="I346" s="1">
        <v>1</v>
      </c>
      <c r="J346" s="1">
        <v>0</v>
      </c>
      <c r="K346" s="1">
        <v>0</v>
      </c>
      <c r="L346" s="1">
        <v>0</v>
      </c>
      <c r="M346" s="1">
        <v>0</v>
      </c>
      <c r="N346" s="1">
        <f t="shared" si="5"/>
        <v>0</v>
      </c>
      <c r="O346" s="1">
        <v>0</v>
      </c>
      <c r="P346" s="1"/>
      <c r="Q346" s="1">
        <v>55.3</v>
      </c>
    </row>
    <row r="347" spans="1:17">
      <c r="A347" s="1" t="s">
        <v>390</v>
      </c>
      <c r="B347" s="4">
        <v>45728</v>
      </c>
      <c r="C347" s="1" t="s">
        <v>1</v>
      </c>
      <c r="D347" s="1" t="s">
        <v>41</v>
      </c>
      <c r="E347" s="1" t="s">
        <v>37</v>
      </c>
      <c r="F347" s="1" t="s">
        <v>42</v>
      </c>
      <c r="G347" s="1" t="s">
        <v>39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f t="shared" si="5"/>
        <v>0</v>
      </c>
      <c r="O347" s="1">
        <v>0</v>
      </c>
      <c r="P347" s="1"/>
      <c r="Q347" s="1">
        <v>37.5</v>
      </c>
    </row>
    <row r="348" spans="1:17">
      <c r="A348" s="1" t="s">
        <v>391</v>
      </c>
      <c r="B348" s="4">
        <v>45660</v>
      </c>
      <c r="C348" s="1" t="s">
        <v>1</v>
      </c>
      <c r="D348" s="1" t="s">
        <v>45</v>
      </c>
      <c r="E348" s="1" t="s">
        <v>32</v>
      </c>
      <c r="F348" s="1" t="s">
        <v>42</v>
      </c>
      <c r="G348" s="1" t="s">
        <v>39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1</v>
      </c>
      <c r="N348" s="1">
        <f t="shared" si="5"/>
        <v>1</v>
      </c>
      <c r="O348" s="1">
        <v>0</v>
      </c>
      <c r="P348" s="1"/>
      <c r="Q348" s="1">
        <v>66.400000000000006</v>
      </c>
    </row>
    <row r="349" spans="1:17">
      <c r="A349" s="1" t="s">
        <v>392</v>
      </c>
      <c r="B349" s="4">
        <v>45775</v>
      </c>
      <c r="C349" s="1" t="s">
        <v>1</v>
      </c>
      <c r="D349" s="1" t="s">
        <v>31</v>
      </c>
      <c r="E349" s="1" t="s">
        <v>47</v>
      </c>
      <c r="F349" s="1" t="s">
        <v>54</v>
      </c>
      <c r="G349" s="1" t="s">
        <v>34</v>
      </c>
      <c r="H349" s="1">
        <v>1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f t="shared" si="5"/>
        <v>0</v>
      </c>
      <c r="O349" s="1">
        <v>0</v>
      </c>
      <c r="P349" s="1"/>
      <c r="Q349" s="1">
        <v>61.9</v>
      </c>
    </row>
    <row r="350" spans="1:17">
      <c r="A350" s="1" t="s">
        <v>393</v>
      </c>
      <c r="B350" s="4">
        <v>45764</v>
      </c>
      <c r="C350" s="1" t="s">
        <v>1</v>
      </c>
      <c r="D350" s="1" t="s">
        <v>41</v>
      </c>
      <c r="E350" s="1" t="s">
        <v>37</v>
      </c>
      <c r="F350" s="1" t="s">
        <v>38</v>
      </c>
      <c r="G350" s="1" t="s">
        <v>39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f t="shared" si="5"/>
        <v>0</v>
      </c>
      <c r="O350" s="1">
        <v>0</v>
      </c>
      <c r="P350" s="1"/>
      <c r="Q350" s="1">
        <v>56</v>
      </c>
    </row>
    <row r="351" spans="1:17">
      <c r="A351" s="1" t="s">
        <v>394</v>
      </c>
      <c r="B351" s="4">
        <v>45800</v>
      </c>
      <c r="C351" s="1" t="s">
        <v>1</v>
      </c>
      <c r="D351" s="1" t="s">
        <v>45</v>
      </c>
      <c r="E351" s="1" t="s">
        <v>32</v>
      </c>
      <c r="F351" s="1" t="s">
        <v>54</v>
      </c>
      <c r="G351" s="1" t="s">
        <v>34</v>
      </c>
      <c r="H351" s="1">
        <v>1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f t="shared" si="5"/>
        <v>0</v>
      </c>
      <c r="O351" s="1">
        <v>0</v>
      </c>
      <c r="P351" s="1"/>
      <c r="Q351" s="1">
        <v>55.5</v>
      </c>
    </row>
    <row r="352" spans="1:17">
      <c r="A352" s="1" t="s">
        <v>395</v>
      </c>
      <c r="B352" s="4">
        <v>45707</v>
      </c>
      <c r="C352" s="1" t="s">
        <v>1</v>
      </c>
      <c r="D352" s="1" t="s">
        <v>36</v>
      </c>
      <c r="E352" s="1" t="s">
        <v>47</v>
      </c>
      <c r="F352" s="1" t="s">
        <v>52</v>
      </c>
      <c r="G352" s="1" t="s">
        <v>34</v>
      </c>
      <c r="H352" s="1">
        <v>1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f t="shared" si="5"/>
        <v>0</v>
      </c>
      <c r="O352" s="1">
        <v>0</v>
      </c>
      <c r="P352" s="1"/>
      <c r="Q352" s="1">
        <v>37.200000000000003</v>
      </c>
    </row>
    <row r="353" spans="1:17">
      <c r="A353" s="1" t="s">
        <v>396</v>
      </c>
      <c r="B353" s="4">
        <v>45675</v>
      </c>
      <c r="C353" s="1" t="s">
        <v>1</v>
      </c>
      <c r="D353" s="1" t="s">
        <v>45</v>
      </c>
      <c r="E353" s="1" t="s">
        <v>32</v>
      </c>
      <c r="F353" s="1" t="s">
        <v>38</v>
      </c>
      <c r="G353" s="1" t="s">
        <v>39</v>
      </c>
      <c r="H353" s="1">
        <v>1</v>
      </c>
      <c r="I353" s="1">
        <v>1</v>
      </c>
      <c r="J353" s="1">
        <v>0</v>
      </c>
      <c r="K353" s="1">
        <v>0</v>
      </c>
      <c r="L353" s="1">
        <v>0</v>
      </c>
      <c r="M353" s="1">
        <v>1</v>
      </c>
      <c r="N353" s="1">
        <f t="shared" si="5"/>
        <v>1</v>
      </c>
      <c r="O353" s="1">
        <v>0</v>
      </c>
      <c r="P353" s="1"/>
      <c r="Q353" s="1">
        <v>70.5</v>
      </c>
    </row>
    <row r="354" spans="1:17">
      <c r="A354" s="1" t="s">
        <v>397</v>
      </c>
      <c r="B354" s="4">
        <v>45764</v>
      </c>
      <c r="C354" s="1" t="s">
        <v>1</v>
      </c>
      <c r="D354" s="1" t="s">
        <v>31</v>
      </c>
      <c r="E354" s="1" t="s">
        <v>37</v>
      </c>
      <c r="F354" s="1" t="s">
        <v>38</v>
      </c>
      <c r="G354" s="1" t="s">
        <v>39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f t="shared" si="5"/>
        <v>0</v>
      </c>
      <c r="O354" s="1">
        <v>0</v>
      </c>
      <c r="P354" s="1"/>
      <c r="Q354" s="1">
        <v>61.2</v>
      </c>
    </row>
    <row r="355" spans="1:17">
      <c r="A355" s="1" t="s">
        <v>398</v>
      </c>
      <c r="B355" s="4">
        <v>45759</v>
      </c>
      <c r="C355" s="1" t="s">
        <v>1</v>
      </c>
      <c r="D355" s="1" t="s">
        <v>41</v>
      </c>
      <c r="E355" s="1" t="s">
        <v>47</v>
      </c>
      <c r="F355" s="1" t="s">
        <v>54</v>
      </c>
      <c r="G355" s="1" t="s">
        <v>39</v>
      </c>
      <c r="H355" s="1">
        <v>1</v>
      </c>
      <c r="I355" s="1">
        <v>1</v>
      </c>
      <c r="J355" s="1">
        <v>1</v>
      </c>
      <c r="K355" s="1">
        <v>0</v>
      </c>
      <c r="L355" s="1">
        <v>0</v>
      </c>
      <c r="M355" s="1">
        <v>0</v>
      </c>
      <c r="N355" s="1">
        <f t="shared" si="5"/>
        <v>0</v>
      </c>
      <c r="O355" s="1">
        <v>0</v>
      </c>
      <c r="P355" s="1"/>
      <c r="Q355" s="1">
        <v>64.599999999999994</v>
      </c>
    </row>
    <row r="356" spans="1:17">
      <c r="A356" s="1" t="s">
        <v>399</v>
      </c>
      <c r="B356" s="4">
        <v>45793</v>
      </c>
      <c r="C356" s="1" t="s">
        <v>1</v>
      </c>
      <c r="D356" s="1" t="s">
        <v>41</v>
      </c>
      <c r="E356" s="1" t="s">
        <v>37</v>
      </c>
      <c r="F356" s="1" t="s">
        <v>33</v>
      </c>
      <c r="G356" s="1" t="s">
        <v>39</v>
      </c>
      <c r="H356" s="1">
        <v>1</v>
      </c>
      <c r="I356" s="1">
        <v>1</v>
      </c>
      <c r="J356" s="1">
        <v>0</v>
      </c>
      <c r="K356" s="1">
        <v>0</v>
      </c>
      <c r="L356" s="1">
        <v>0</v>
      </c>
      <c r="M356" s="1">
        <v>0</v>
      </c>
      <c r="N356" s="1">
        <f t="shared" si="5"/>
        <v>0</v>
      </c>
      <c r="O356" s="1">
        <v>0</v>
      </c>
      <c r="P356" s="1"/>
      <c r="Q356" s="1">
        <v>91.7</v>
      </c>
    </row>
    <row r="357" spans="1:17">
      <c r="A357" s="1" t="s">
        <v>400</v>
      </c>
      <c r="B357" s="4">
        <v>45740</v>
      </c>
      <c r="C357" s="1" t="s">
        <v>1</v>
      </c>
      <c r="D357" s="1" t="s">
        <v>36</v>
      </c>
      <c r="E357" s="1" t="s">
        <v>37</v>
      </c>
      <c r="F357" s="1" t="s">
        <v>54</v>
      </c>
      <c r="G357" s="1" t="s">
        <v>39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f t="shared" si="5"/>
        <v>0</v>
      </c>
      <c r="O357" s="1">
        <v>0</v>
      </c>
      <c r="P357" s="1"/>
      <c r="Q357" s="1">
        <v>46</v>
      </c>
    </row>
    <row r="358" spans="1:17">
      <c r="A358" s="1" t="s">
        <v>401</v>
      </c>
      <c r="B358" s="4">
        <v>45704</v>
      </c>
      <c r="C358" s="1" t="s">
        <v>1</v>
      </c>
      <c r="D358" s="1" t="s">
        <v>36</v>
      </c>
      <c r="E358" s="1" t="s">
        <v>37</v>
      </c>
      <c r="F358" s="1" t="s">
        <v>38</v>
      </c>
      <c r="G358" s="1" t="s">
        <v>34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f t="shared" si="5"/>
        <v>0</v>
      </c>
      <c r="O358" s="1">
        <v>0</v>
      </c>
      <c r="P358" s="1"/>
      <c r="Q358" s="1">
        <v>50.8</v>
      </c>
    </row>
    <row r="359" spans="1:17">
      <c r="A359" s="1" t="s">
        <v>402</v>
      </c>
      <c r="B359" s="4">
        <v>45735</v>
      </c>
      <c r="C359" s="1" t="s">
        <v>1</v>
      </c>
      <c r="D359" s="1" t="s">
        <v>31</v>
      </c>
      <c r="E359" s="1" t="s">
        <v>47</v>
      </c>
      <c r="F359" s="1" t="s">
        <v>38</v>
      </c>
      <c r="G359" s="1" t="s">
        <v>39</v>
      </c>
      <c r="H359" s="1">
        <v>1</v>
      </c>
      <c r="I359" s="1">
        <v>1</v>
      </c>
      <c r="J359" s="1">
        <v>1</v>
      </c>
      <c r="K359" s="1">
        <v>0</v>
      </c>
      <c r="L359" s="1">
        <v>0</v>
      </c>
      <c r="M359" s="1">
        <v>0</v>
      </c>
      <c r="N359" s="1">
        <f t="shared" si="5"/>
        <v>0</v>
      </c>
      <c r="O359" s="1">
        <v>0</v>
      </c>
      <c r="P359" s="1"/>
      <c r="Q359" s="1">
        <v>52.8</v>
      </c>
    </row>
    <row r="360" spans="1:17">
      <c r="A360" s="1" t="s">
        <v>403</v>
      </c>
      <c r="B360" s="4">
        <v>45768</v>
      </c>
      <c r="C360" s="1" t="s">
        <v>1</v>
      </c>
      <c r="D360" s="1" t="s">
        <v>45</v>
      </c>
      <c r="E360" s="1" t="s">
        <v>37</v>
      </c>
      <c r="F360" s="1" t="s">
        <v>38</v>
      </c>
      <c r="G360" s="1" t="s">
        <v>34</v>
      </c>
      <c r="H360" s="1">
        <v>1</v>
      </c>
      <c r="I360" s="1">
        <v>1</v>
      </c>
      <c r="J360" s="1">
        <v>1</v>
      </c>
      <c r="K360" s="1">
        <v>0</v>
      </c>
      <c r="L360" s="1">
        <v>0</v>
      </c>
      <c r="M360" s="1">
        <v>0</v>
      </c>
      <c r="N360" s="1">
        <f t="shared" si="5"/>
        <v>0</v>
      </c>
      <c r="O360" s="1">
        <v>0</v>
      </c>
      <c r="P360" s="1"/>
      <c r="Q360" s="1">
        <v>63</v>
      </c>
    </row>
    <row r="361" spans="1:17">
      <c r="A361" s="1" t="s">
        <v>404</v>
      </c>
      <c r="B361" s="4">
        <v>45668</v>
      </c>
      <c r="C361" s="1" t="s">
        <v>1</v>
      </c>
      <c r="D361" s="1" t="s">
        <v>36</v>
      </c>
      <c r="E361" s="1" t="s">
        <v>37</v>
      </c>
      <c r="F361" s="1" t="s">
        <v>38</v>
      </c>
      <c r="G361" s="1" t="s">
        <v>39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f t="shared" si="5"/>
        <v>0</v>
      </c>
      <c r="O361" s="1">
        <v>0</v>
      </c>
      <c r="P361" s="1"/>
      <c r="Q361" s="1">
        <v>28.4</v>
      </c>
    </row>
    <row r="362" spans="1:17">
      <c r="A362" s="1" t="s">
        <v>405</v>
      </c>
      <c r="B362" s="4">
        <v>45771</v>
      </c>
      <c r="C362" s="1" t="s">
        <v>1</v>
      </c>
      <c r="D362" s="1" t="s">
        <v>36</v>
      </c>
      <c r="E362" s="1" t="s">
        <v>32</v>
      </c>
      <c r="F362" s="1" t="s">
        <v>38</v>
      </c>
      <c r="G362" s="1" t="s">
        <v>39</v>
      </c>
      <c r="H362" s="1">
        <v>1</v>
      </c>
      <c r="I362" s="1">
        <v>1</v>
      </c>
      <c r="J362" s="1">
        <v>0</v>
      </c>
      <c r="K362" s="1">
        <v>0</v>
      </c>
      <c r="L362" s="1">
        <v>0</v>
      </c>
      <c r="M362" s="1">
        <v>0</v>
      </c>
      <c r="N362" s="1">
        <f t="shared" si="5"/>
        <v>0</v>
      </c>
      <c r="O362" s="1">
        <v>0</v>
      </c>
      <c r="P362" s="1"/>
      <c r="Q362" s="1">
        <v>65.599999999999994</v>
      </c>
    </row>
    <row r="363" spans="1:17">
      <c r="A363" s="1" t="s">
        <v>406</v>
      </c>
      <c r="B363" s="4">
        <v>45729</v>
      </c>
      <c r="C363" s="1" t="s">
        <v>1</v>
      </c>
      <c r="D363" s="1" t="s">
        <v>31</v>
      </c>
      <c r="E363" s="1" t="s">
        <v>37</v>
      </c>
      <c r="F363" s="1" t="s">
        <v>54</v>
      </c>
      <c r="G363" s="1" t="s">
        <v>43</v>
      </c>
      <c r="H363" s="1">
        <v>1</v>
      </c>
      <c r="I363" s="1">
        <v>1</v>
      </c>
      <c r="J363" s="1">
        <v>1</v>
      </c>
      <c r="K363" s="1">
        <v>0</v>
      </c>
      <c r="L363" s="1">
        <v>0</v>
      </c>
      <c r="M363" s="1">
        <v>0</v>
      </c>
      <c r="N363" s="1">
        <f t="shared" si="5"/>
        <v>0</v>
      </c>
      <c r="O363" s="1">
        <v>0</v>
      </c>
      <c r="P363" s="1"/>
      <c r="Q363" s="1">
        <v>54.7</v>
      </c>
    </row>
    <row r="364" spans="1:17">
      <c r="A364" s="1" t="s">
        <v>407</v>
      </c>
      <c r="B364" s="4">
        <v>45687</v>
      </c>
      <c r="C364" s="1" t="s">
        <v>1</v>
      </c>
      <c r="D364" s="1" t="s">
        <v>31</v>
      </c>
      <c r="E364" s="1" t="s">
        <v>37</v>
      </c>
      <c r="F364" s="1" t="s">
        <v>54</v>
      </c>
      <c r="G364" s="1" t="s">
        <v>34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f t="shared" si="5"/>
        <v>0</v>
      </c>
      <c r="O364" s="1">
        <v>0</v>
      </c>
      <c r="P364" s="1"/>
      <c r="Q364" s="1">
        <v>36.1</v>
      </c>
    </row>
    <row r="365" spans="1:17">
      <c r="A365" s="1" t="s">
        <v>408</v>
      </c>
      <c r="B365" s="4">
        <v>45785</v>
      </c>
      <c r="C365" s="1" t="s">
        <v>1</v>
      </c>
      <c r="D365" s="1" t="s">
        <v>45</v>
      </c>
      <c r="E365" s="1" t="s">
        <v>37</v>
      </c>
      <c r="F365" s="1" t="s">
        <v>54</v>
      </c>
      <c r="G365" s="1" t="s">
        <v>34</v>
      </c>
      <c r="H365" s="1">
        <v>1</v>
      </c>
      <c r="I365" s="1">
        <v>1</v>
      </c>
      <c r="J365" s="1">
        <v>1</v>
      </c>
      <c r="K365" s="1">
        <v>0</v>
      </c>
      <c r="L365" s="1">
        <v>0</v>
      </c>
      <c r="M365" s="1">
        <v>0</v>
      </c>
      <c r="N365" s="1">
        <f t="shared" si="5"/>
        <v>0</v>
      </c>
      <c r="O365" s="1">
        <v>0</v>
      </c>
      <c r="P365" s="1"/>
      <c r="Q365" s="1">
        <v>70.400000000000006</v>
      </c>
    </row>
    <row r="366" spans="1:17">
      <c r="A366" s="1" t="s">
        <v>409</v>
      </c>
      <c r="B366" s="4">
        <v>45665</v>
      </c>
      <c r="C366" s="1" t="s">
        <v>1</v>
      </c>
      <c r="D366" s="1" t="s">
        <v>41</v>
      </c>
      <c r="E366" s="1" t="s">
        <v>32</v>
      </c>
      <c r="F366" s="1" t="s">
        <v>54</v>
      </c>
      <c r="G366" s="1" t="s">
        <v>39</v>
      </c>
      <c r="H366" s="1">
        <v>1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f t="shared" si="5"/>
        <v>0</v>
      </c>
      <c r="O366" s="1">
        <v>0</v>
      </c>
      <c r="P366" s="1"/>
      <c r="Q366" s="1">
        <v>56.4</v>
      </c>
    </row>
    <row r="367" spans="1:17">
      <c r="A367" s="1" t="s">
        <v>410</v>
      </c>
      <c r="B367" s="4">
        <v>45780</v>
      </c>
      <c r="C367" s="1" t="s">
        <v>1</v>
      </c>
      <c r="D367" s="1" t="s">
        <v>45</v>
      </c>
      <c r="E367" s="1" t="s">
        <v>37</v>
      </c>
      <c r="F367" s="1" t="s">
        <v>38</v>
      </c>
      <c r="G367" s="1" t="s">
        <v>39</v>
      </c>
      <c r="H367" s="1">
        <v>1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f t="shared" si="5"/>
        <v>0</v>
      </c>
      <c r="O367" s="1">
        <v>0</v>
      </c>
      <c r="P367" s="1"/>
      <c r="Q367" s="1">
        <v>79.2</v>
      </c>
    </row>
    <row r="368" spans="1:17">
      <c r="A368" s="1" t="s">
        <v>411</v>
      </c>
      <c r="B368" s="4">
        <v>45700</v>
      </c>
      <c r="C368" s="1" t="s">
        <v>1</v>
      </c>
      <c r="D368" s="1" t="s">
        <v>41</v>
      </c>
      <c r="E368" s="1" t="s">
        <v>37</v>
      </c>
      <c r="F368" s="1" t="s">
        <v>42</v>
      </c>
      <c r="G368" s="1" t="s">
        <v>39</v>
      </c>
      <c r="H368" s="1">
        <v>1</v>
      </c>
      <c r="I368" s="1">
        <v>1</v>
      </c>
      <c r="J368" s="1">
        <v>1</v>
      </c>
      <c r="K368" s="1">
        <v>0</v>
      </c>
      <c r="L368" s="1">
        <v>0</v>
      </c>
      <c r="M368" s="1">
        <v>0</v>
      </c>
      <c r="N368" s="1">
        <f t="shared" si="5"/>
        <v>0</v>
      </c>
      <c r="O368" s="1">
        <v>0</v>
      </c>
      <c r="P368" s="1"/>
      <c r="Q368" s="1">
        <v>60.1</v>
      </c>
    </row>
    <row r="369" spans="1:17">
      <c r="A369" s="1" t="s">
        <v>412</v>
      </c>
      <c r="B369" s="4">
        <v>45713</v>
      </c>
      <c r="C369" s="1" t="s">
        <v>1</v>
      </c>
      <c r="D369" s="1" t="s">
        <v>45</v>
      </c>
      <c r="E369" s="1" t="s">
        <v>47</v>
      </c>
      <c r="F369" s="1" t="s">
        <v>38</v>
      </c>
      <c r="G369" s="1" t="s">
        <v>39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f t="shared" si="5"/>
        <v>0</v>
      </c>
      <c r="O369" s="1">
        <v>0</v>
      </c>
      <c r="P369" s="1"/>
      <c r="Q369" s="1">
        <v>58</v>
      </c>
    </row>
    <row r="370" spans="1:17">
      <c r="A370" s="1" t="s">
        <v>413</v>
      </c>
      <c r="B370" s="4">
        <v>45761</v>
      </c>
      <c r="C370" s="1" t="s">
        <v>1</v>
      </c>
      <c r="D370" s="1" t="s">
        <v>45</v>
      </c>
      <c r="E370" s="1" t="s">
        <v>37</v>
      </c>
      <c r="F370" s="1" t="s">
        <v>52</v>
      </c>
      <c r="G370" s="1" t="s">
        <v>39</v>
      </c>
      <c r="H370" s="1">
        <v>1</v>
      </c>
      <c r="I370" s="1">
        <v>1</v>
      </c>
      <c r="J370" s="1">
        <v>1</v>
      </c>
      <c r="K370" s="1">
        <v>0</v>
      </c>
      <c r="L370" s="1">
        <v>0</v>
      </c>
      <c r="M370" s="1">
        <v>0</v>
      </c>
      <c r="N370" s="1">
        <f t="shared" si="5"/>
        <v>0</v>
      </c>
      <c r="O370" s="1">
        <v>0</v>
      </c>
      <c r="P370" s="1"/>
      <c r="Q370" s="1">
        <v>69</v>
      </c>
    </row>
    <row r="371" spans="1:17">
      <c r="A371" s="1" t="s">
        <v>414</v>
      </c>
      <c r="B371" s="4">
        <v>45665</v>
      </c>
      <c r="C371" s="1" t="s">
        <v>1</v>
      </c>
      <c r="D371" s="1" t="s">
        <v>31</v>
      </c>
      <c r="E371" s="1" t="s">
        <v>37</v>
      </c>
      <c r="F371" s="1" t="s">
        <v>52</v>
      </c>
      <c r="G371" s="1" t="s">
        <v>43</v>
      </c>
      <c r="H371" s="1">
        <v>1</v>
      </c>
      <c r="I371" s="1">
        <v>1</v>
      </c>
      <c r="J371" s="1">
        <v>1</v>
      </c>
      <c r="K371" s="1">
        <v>0</v>
      </c>
      <c r="L371" s="1">
        <v>0</v>
      </c>
      <c r="M371" s="1">
        <v>1</v>
      </c>
      <c r="N371" s="1">
        <f t="shared" si="5"/>
        <v>1</v>
      </c>
      <c r="O371" s="1">
        <v>0</v>
      </c>
      <c r="P371" s="1"/>
      <c r="Q371" s="1">
        <v>80.8</v>
      </c>
    </row>
    <row r="372" spans="1:17">
      <c r="A372" s="1" t="s">
        <v>415</v>
      </c>
      <c r="B372" s="4">
        <v>45730</v>
      </c>
      <c r="C372" s="1" t="s">
        <v>1</v>
      </c>
      <c r="D372" s="1" t="s">
        <v>41</v>
      </c>
      <c r="E372" s="1" t="s">
        <v>37</v>
      </c>
      <c r="F372" s="1" t="s">
        <v>33</v>
      </c>
      <c r="G372" s="1" t="s">
        <v>39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f t="shared" si="5"/>
        <v>0</v>
      </c>
      <c r="O372" s="1">
        <v>0</v>
      </c>
      <c r="P372" s="1"/>
      <c r="Q372" s="1">
        <v>32.799999999999997</v>
      </c>
    </row>
    <row r="373" spans="1:17">
      <c r="A373" s="1" t="s">
        <v>416</v>
      </c>
      <c r="B373" s="4">
        <v>45776</v>
      </c>
      <c r="C373" s="1" t="s">
        <v>1</v>
      </c>
      <c r="D373" s="1" t="s">
        <v>31</v>
      </c>
      <c r="E373" s="1" t="s">
        <v>32</v>
      </c>
      <c r="F373" s="1" t="s">
        <v>42</v>
      </c>
      <c r="G373" s="1" t="s">
        <v>43</v>
      </c>
      <c r="H373" s="1">
        <v>1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f t="shared" si="5"/>
        <v>0</v>
      </c>
      <c r="O373" s="1">
        <v>0</v>
      </c>
      <c r="P373" s="1"/>
      <c r="Q373" s="1">
        <v>56</v>
      </c>
    </row>
    <row r="374" spans="1:17">
      <c r="A374" s="1" t="s">
        <v>417</v>
      </c>
      <c r="B374" s="4">
        <v>45778</v>
      </c>
      <c r="C374" s="1" t="s">
        <v>1</v>
      </c>
      <c r="D374" s="1" t="s">
        <v>41</v>
      </c>
      <c r="E374" s="1" t="s">
        <v>32</v>
      </c>
      <c r="F374" s="1" t="s">
        <v>54</v>
      </c>
      <c r="G374" s="1" t="s">
        <v>39</v>
      </c>
      <c r="H374" s="1">
        <v>1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f t="shared" si="5"/>
        <v>0</v>
      </c>
      <c r="O374" s="1">
        <v>0</v>
      </c>
      <c r="P374" s="1"/>
      <c r="Q374" s="1">
        <v>76.400000000000006</v>
      </c>
    </row>
    <row r="375" spans="1:17">
      <c r="A375" s="1" t="s">
        <v>418</v>
      </c>
      <c r="B375" s="4">
        <v>45735</v>
      </c>
      <c r="C375" s="1" t="s">
        <v>1</v>
      </c>
      <c r="D375" s="1" t="s">
        <v>31</v>
      </c>
      <c r="E375" s="1" t="s">
        <v>37</v>
      </c>
      <c r="F375" s="1" t="s">
        <v>52</v>
      </c>
      <c r="G375" s="1" t="s">
        <v>39</v>
      </c>
      <c r="H375" s="1">
        <v>1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f t="shared" si="5"/>
        <v>0</v>
      </c>
      <c r="O375" s="1">
        <v>0</v>
      </c>
      <c r="P375" s="1"/>
      <c r="Q375" s="1">
        <v>28.5</v>
      </c>
    </row>
    <row r="376" spans="1:17">
      <c r="A376" s="1" t="s">
        <v>419</v>
      </c>
      <c r="B376" s="4">
        <v>45778</v>
      </c>
      <c r="C376" s="1" t="s">
        <v>1</v>
      </c>
      <c r="D376" s="1" t="s">
        <v>45</v>
      </c>
      <c r="E376" s="1" t="s">
        <v>32</v>
      </c>
      <c r="F376" s="1" t="s">
        <v>54</v>
      </c>
      <c r="G376" s="1" t="s">
        <v>34</v>
      </c>
      <c r="H376" s="1">
        <v>1</v>
      </c>
      <c r="I376" s="1">
        <v>1</v>
      </c>
      <c r="J376" s="1">
        <v>1</v>
      </c>
      <c r="K376" s="1">
        <v>0</v>
      </c>
      <c r="L376" s="1">
        <v>0</v>
      </c>
      <c r="M376" s="1">
        <v>0</v>
      </c>
      <c r="N376" s="1">
        <f t="shared" si="5"/>
        <v>0</v>
      </c>
      <c r="O376" s="1">
        <v>0</v>
      </c>
      <c r="P376" s="1"/>
      <c r="Q376" s="1">
        <v>48.3</v>
      </c>
    </row>
    <row r="377" spans="1:17">
      <c r="A377" s="1" t="s">
        <v>420</v>
      </c>
      <c r="B377" s="4">
        <v>45730</v>
      </c>
      <c r="C377" s="1" t="s">
        <v>1</v>
      </c>
      <c r="D377" s="1" t="s">
        <v>36</v>
      </c>
      <c r="E377" s="1" t="s">
        <v>37</v>
      </c>
      <c r="F377" s="1" t="s">
        <v>38</v>
      </c>
      <c r="G377" s="1" t="s">
        <v>39</v>
      </c>
      <c r="H377" s="1">
        <v>1</v>
      </c>
      <c r="I377" s="1">
        <v>1</v>
      </c>
      <c r="J377" s="1">
        <v>0</v>
      </c>
      <c r="K377" s="1">
        <v>0</v>
      </c>
      <c r="L377" s="1">
        <v>0</v>
      </c>
      <c r="M377" s="1">
        <v>0</v>
      </c>
      <c r="N377" s="1">
        <f t="shared" si="5"/>
        <v>0</v>
      </c>
      <c r="O377" s="1">
        <v>0</v>
      </c>
      <c r="P377" s="1"/>
      <c r="Q377" s="1">
        <v>43.4</v>
      </c>
    </row>
    <row r="378" spans="1:17">
      <c r="A378" s="1" t="s">
        <v>421</v>
      </c>
      <c r="B378" s="4">
        <v>45739</v>
      </c>
      <c r="C378" s="1" t="s">
        <v>1</v>
      </c>
      <c r="D378" s="1" t="s">
        <v>31</v>
      </c>
      <c r="E378" s="1" t="s">
        <v>37</v>
      </c>
      <c r="F378" s="1" t="s">
        <v>42</v>
      </c>
      <c r="G378" s="1" t="s">
        <v>39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f t="shared" si="5"/>
        <v>0</v>
      </c>
      <c r="O378" s="1">
        <v>0</v>
      </c>
      <c r="P378" s="1"/>
      <c r="Q378" s="1">
        <v>43</v>
      </c>
    </row>
    <row r="379" spans="1:17">
      <c r="A379" s="1" t="s">
        <v>422</v>
      </c>
      <c r="B379" s="4">
        <v>45696</v>
      </c>
      <c r="C379" s="1" t="s">
        <v>1</v>
      </c>
      <c r="D379" s="1" t="s">
        <v>41</v>
      </c>
      <c r="E379" s="1" t="s">
        <v>37</v>
      </c>
      <c r="F379" s="1" t="s">
        <v>52</v>
      </c>
      <c r="G379" s="1" t="s">
        <v>34</v>
      </c>
      <c r="H379" s="1">
        <v>1</v>
      </c>
      <c r="I379" s="1">
        <v>1</v>
      </c>
      <c r="J379" s="1">
        <v>1</v>
      </c>
      <c r="K379" s="1">
        <v>0</v>
      </c>
      <c r="L379" s="1">
        <v>0</v>
      </c>
      <c r="M379" s="1">
        <v>0</v>
      </c>
      <c r="N379" s="1">
        <f t="shared" si="5"/>
        <v>0</v>
      </c>
      <c r="O379" s="1">
        <v>0</v>
      </c>
      <c r="P379" s="1"/>
      <c r="Q379" s="1">
        <v>91.8</v>
      </c>
    </row>
    <row r="380" spans="1:17">
      <c r="A380" s="1" t="s">
        <v>423</v>
      </c>
      <c r="B380" s="4">
        <v>45762</v>
      </c>
      <c r="C380" s="1" t="s">
        <v>1</v>
      </c>
      <c r="D380" s="1" t="s">
        <v>36</v>
      </c>
      <c r="E380" s="1" t="s">
        <v>47</v>
      </c>
      <c r="F380" s="1" t="s">
        <v>42</v>
      </c>
      <c r="G380" s="1" t="s">
        <v>34</v>
      </c>
      <c r="H380" s="1">
        <v>1</v>
      </c>
      <c r="I380" s="1">
        <v>0</v>
      </c>
      <c r="J380" s="1">
        <v>0</v>
      </c>
      <c r="K380" s="1">
        <v>0</v>
      </c>
      <c r="L380" s="1">
        <v>0</v>
      </c>
      <c r="M380" s="1">
        <v>1</v>
      </c>
      <c r="N380" s="1">
        <f t="shared" si="5"/>
        <v>1</v>
      </c>
      <c r="O380" s="1">
        <v>0</v>
      </c>
      <c r="P380" s="1"/>
      <c r="Q380" s="1">
        <v>69.3</v>
      </c>
    </row>
    <row r="381" spans="1:17">
      <c r="A381" s="1" t="s">
        <v>424</v>
      </c>
      <c r="B381" s="4">
        <v>45660</v>
      </c>
      <c r="C381" s="1" t="s">
        <v>1</v>
      </c>
      <c r="D381" s="1" t="s">
        <v>45</v>
      </c>
      <c r="E381" s="1" t="s">
        <v>32</v>
      </c>
      <c r="F381" s="1" t="s">
        <v>42</v>
      </c>
      <c r="G381" s="1" t="s">
        <v>34</v>
      </c>
      <c r="H381" s="1">
        <v>1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f t="shared" si="5"/>
        <v>0</v>
      </c>
      <c r="O381" s="1">
        <v>0</v>
      </c>
      <c r="P381" s="1"/>
      <c r="Q381" s="1">
        <v>58.9</v>
      </c>
    </row>
    <row r="382" spans="1:17">
      <c r="A382" s="1" t="s">
        <v>425</v>
      </c>
      <c r="B382" s="4">
        <v>45739</v>
      </c>
      <c r="C382" s="1" t="s">
        <v>1</v>
      </c>
      <c r="D382" s="1" t="s">
        <v>36</v>
      </c>
      <c r="E382" s="1" t="s">
        <v>37</v>
      </c>
      <c r="F382" s="1" t="s">
        <v>54</v>
      </c>
      <c r="G382" s="1" t="s">
        <v>39</v>
      </c>
      <c r="H382" s="1">
        <v>1</v>
      </c>
      <c r="I382" s="1">
        <v>1</v>
      </c>
      <c r="J382" s="1">
        <v>1</v>
      </c>
      <c r="K382" s="1">
        <v>0</v>
      </c>
      <c r="L382" s="1">
        <v>0</v>
      </c>
      <c r="M382" s="1">
        <v>0</v>
      </c>
      <c r="N382" s="1">
        <f t="shared" si="5"/>
        <v>0</v>
      </c>
      <c r="O382" s="1">
        <v>0</v>
      </c>
      <c r="P382" s="1"/>
      <c r="Q382" s="1">
        <v>76</v>
      </c>
    </row>
    <row r="383" spans="1:17">
      <c r="A383" s="1" t="s">
        <v>426</v>
      </c>
      <c r="B383" s="4">
        <v>45804</v>
      </c>
      <c r="C383" s="1" t="s">
        <v>1</v>
      </c>
      <c r="D383" s="1" t="s">
        <v>45</v>
      </c>
      <c r="E383" s="1" t="s">
        <v>37</v>
      </c>
      <c r="F383" s="1" t="s">
        <v>52</v>
      </c>
      <c r="G383" s="1" t="s">
        <v>43</v>
      </c>
      <c r="H383" s="1">
        <v>1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f t="shared" si="5"/>
        <v>0</v>
      </c>
      <c r="O383" s="1">
        <v>0</v>
      </c>
      <c r="P383" s="1"/>
      <c r="Q383" s="1">
        <v>46</v>
      </c>
    </row>
    <row r="384" spans="1:17">
      <c r="A384" s="1" t="s">
        <v>427</v>
      </c>
      <c r="B384" s="4">
        <v>45777</v>
      </c>
      <c r="C384" s="1" t="s">
        <v>1</v>
      </c>
      <c r="D384" s="1" t="s">
        <v>41</v>
      </c>
      <c r="E384" s="1" t="s">
        <v>37</v>
      </c>
      <c r="F384" s="1" t="s">
        <v>38</v>
      </c>
      <c r="G384" s="1" t="s">
        <v>39</v>
      </c>
      <c r="H384" s="1">
        <v>1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f t="shared" si="5"/>
        <v>0</v>
      </c>
      <c r="O384" s="1">
        <v>0</v>
      </c>
      <c r="P384" s="1"/>
      <c r="Q384" s="1">
        <v>54.1</v>
      </c>
    </row>
    <row r="385" spans="1:17">
      <c r="A385" s="1" t="s">
        <v>428</v>
      </c>
      <c r="B385" s="4">
        <v>45723</v>
      </c>
      <c r="C385" s="1" t="s">
        <v>1</v>
      </c>
      <c r="D385" s="1" t="s">
        <v>36</v>
      </c>
      <c r="E385" s="1" t="s">
        <v>37</v>
      </c>
      <c r="F385" s="1" t="s">
        <v>54</v>
      </c>
      <c r="G385" s="1" t="s">
        <v>34</v>
      </c>
      <c r="H385" s="1">
        <v>1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f t="shared" si="5"/>
        <v>0</v>
      </c>
      <c r="O385" s="1">
        <v>0</v>
      </c>
      <c r="P385" s="1"/>
      <c r="Q385" s="1">
        <v>82.4</v>
      </c>
    </row>
    <row r="386" spans="1:17">
      <c r="A386" s="1" t="s">
        <v>429</v>
      </c>
      <c r="B386" s="4">
        <v>45787</v>
      </c>
      <c r="C386" s="1" t="s">
        <v>1</v>
      </c>
      <c r="D386" s="1" t="s">
        <v>45</v>
      </c>
      <c r="E386" s="1" t="s">
        <v>37</v>
      </c>
      <c r="F386" s="1" t="s">
        <v>38</v>
      </c>
      <c r="G386" s="1" t="s">
        <v>34</v>
      </c>
      <c r="H386" s="1">
        <v>1</v>
      </c>
      <c r="I386" s="1">
        <v>1</v>
      </c>
      <c r="J386" s="1">
        <v>1</v>
      </c>
      <c r="K386" s="1">
        <v>0</v>
      </c>
      <c r="L386" s="1">
        <v>0</v>
      </c>
      <c r="M386" s="1">
        <v>0</v>
      </c>
      <c r="N386" s="1">
        <f t="shared" si="5"/>
        <v>0</v>
      </c>
      <c r="O386" s="1">
        <v>0</v>
      </c>
      <c r="P386" s="1"/>
      <c r="Q386" s="1">
        <v>71.900000000000006</v>
      </c>
    </row>
    <row r="387" spans="1:17">
      <c r="A387" s="1" t="s">
        <v>430</v>
      </c>
      <c r="B387" s="4">
        <v>45799</v>
      </c>
      <c r="C387" s="1" t="s">
        <v>1</v>
      </c>
      <c r="D387" s="1" t="s">
        <v>41</v>
      </c>
      <c r="E387" s="1" t="s">
        <v>37</v>
      </c>
      <c r="F387" s="1" t="s">
        <v>38</v>
      </c>
      <c r="G387" s="1" t="s">
        <v>39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2</v>
      </c>
      <c r="N387" s="1">
        <f t="shared" ref="N387:N450" si="6">IF(M387&gt;0,1,0)</f>
        <v>1</v>
      </c>
      <c r="O387" s="1">
        <v>0</v>
      </c>
      <c r="P387" s="1"/>
      <c r="Q387" s="1">
        <v>38</v>
      </c>
    </row>
    <row r="388" spans="1:17">
      <c r="A388" s="1" t="s">
        <v>431</v>
      </c>
      <c r="B388" s="4">
        <v>45697</v>
      </c>
      <c r="C388" s="1" t="s">
        <v>1</v>
      </c>
      <c r="D388" s="1" t="s">
        <v>41</v>
      </c>
      <c r="E388" s="1" t="s">
        <v>37</v>
      </c>
      <c r="F388" s="1" t="s">
        <v>42</v>
      </c>
      <c r="G388" s="1" t="s">
        <v>39</v>
      </c>
      <c r="H388" s="1">
        <v>1</v>
      </c>
      <c r="I388" s="1">
        <v>1</v>
      </c>
      <c r="J388" s="1">
        <v>0</v>
      </c>
      <c r="K388" s="1">
        <v>0</v>
      </c>
      <c r="L388" s="1">
        <v>0</v>
      </c>
      <c r="M388" s="1">
        <v>0</v>
      </c>
      <c r="N388" s="1">
        <f t="shared" si="6"/>
        <v>0</v>
      </c>
      <c r="O388" s="1">
        <v>0</v>
      </c>
      <c r="P388" s="1"/>
      <c r="Q388" s="1">
        <v>43.7</v>
      </c>
    </row>
    <row r="389" spans="1:17">
      <c r="A389" s="1" t="s">
        <v>432</v>
      </c>
      <c r="B389" s="4">
        <v>45807</v>
      </c>
      <c r="C389" s="1" t="s">
        <v>1</v>
      </c>
      <c r="D389" s="1" t="s">
        <v>36</v>
      </c>
      <c r="E389" s="1" t="s">
        <v>32</v>
      </c>
      <c r="F389" s="1" t="s">
        <v>38</v>
      </c>
      <c r="G389" s="1" t="s">
        <v>43</v>
      </c>
      <c r="H389" s="1">
        <v>1</v>
      </c>
      <c r="I389" s="1">
        <v>0</v>
      </c>
      <c r="J389" s="1">
        <v>0</v>
      </c>
      <c r="K389" s="1">
        <v>0</v>
      </c>
      <c r="L389" s="1">
        <v>0</v>
      </c>
      <c r="M389" s="1">
        <v>1</v>
      </c>
      <c r="N389" s="1">
        <f t="shared" si="6"/>
        <v>1</v>
      </c>
      <c r="O389" s="1">
        <v>0</v>
      </c>
      <c r="P389" s="1"/>
      <c r="Q389" s="1">
        <v>32.200000000000003</v>
      </c>
    </row>
    <row r="390" spans="1:17">
      <c r="A390" s="1" t="s">
        <v>433</v>
      </c>
      <c r="B390" s="4">
        <v>45778</v>
      </c>
      <c r="C390" s="1" t="s">
        <v>1</v>
      </c>
      <c r="D390" s="1" t="s">
        <v>45</v>
      </c>
      <c r="E390" s="1" t="s">
        <v>37</v>
      </c>
      <c r="F390" s="1" t="s">
        <v>38</v>
      </c>
      <c r="G390" s="1" t="s">
        <v>43</v>
      </c>
      <c r="H390" s="1">
        <v>1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f t="shared" si="6"/>
        <v>0</v>
      </c>
      <c r="O390" s="1">
        <v>0</v>
      </c>
      <c r="P390" s="1"/>
      <c r="Q390" s="1">
        <v>61</v>
      </c>
    </row>
    <row r="391" spans="1:17">
      <c r="A391" s="1" t="s">
        <v>434</v>
      </c>
      <c r="B391" s="4">
        <v>45660</v>
      </c>
      <c r="C391" s="1" t="s">
        <v>1</v>
      </c>
      <c r="D391" s="1" t="s">
        <v>45</v>
      </c>
      <c r="E391" s="1" t="s">
        <v>37</v>
      </c>
      <c r="F391" s="1" t="s">
        <v>42</v>
      </c>
      <c r="G391" s="1" t="s">
        <v>39</v>
      </c>
      <c r="H391" s="1">
        <v>1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f t="shared" si="6"/>
        <v>0</v>
      </c>
      <c r="O391" s="1">
        <v>0</v>
      </c>
      <c r="P391" s="1"/>
      <c r="Q391" s="1">
        <v>49</v>
      </c>
    </row>
    <row r="392" spans="1:17">
      <c r="A392" s="1" t="s">
        <v>435</v>
      </c>
      <c r="B392" s="4">
        <v>45701</v>
      </c>
      <c r="C392" s="1" t="s">
        <v>1</v>
      </c>
      <c r="D392" s="1" t="s">
        <v>41</v>
      </c>
      <c r="E392" s="1" t="s">
        <v>37</v>
      </c>
      <c r="F392" s="1" t="s">
        <v>38</v>
      </c>
      <c r="G392" s="1" t="s">
        <v>39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f t="shared" si="6"/>
        <v>0</v>
      </c>
      <c r="O392" s="1">
        <v>0</v>
      </c>
      <c r="P392" s="1"/>
      <c r="Q392" s="1">
        <v>48.1</v>
      </c>
    </row>
    <row r="393" spans="1:17">
      <c r="A393" s="1" t="s">
        <v>436</v>
      </c>
      <c r="B393" s="4">
        <v>45671</v>
      </c>
      <c r="C393" s="1" t="s">
        <v>1</v>
      </c>
      <c r="D393" s="1" t="s">
        <v>45</v>
      </c>
      <c r="E393" s="1" t="s">
        <v>32</v>
      </c>
      <c r="F393" s="1" t="s">
        <v>38</v>
      </c>
      <c r="G393" s="1" t="s">
        <v>39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2</v>
      </c>
      <c r="N393" s="1">
        <f t="shared" si="6"/>
        <v>1</v>
      </c>
      <c r="O393" s="1">
        <v>0</v>
      </c>
      <c r="P393" s="1"/>
      <c r="Q393" s="1">
        <v>46.3</v>
      </c>
    </row>
    <row r="394" spans="1:17">
      <c r="A394" s="1" t="s">
        <v>437</v>
      </c>
      <c r="B394" s="4">
        <v>45712</v>
      </c>
      <c r="C394" s="1" t="s">
        <v>1</v>
      </c>
      <c r="D394" s="1" t="s">
        <v>31</v>
      </c>
      <c r="E394" s="1" t="s">
        <v>37</v>
      </c>
      <c r="F394" s="1" t="s">
        <v>52</v>
      </c>
      <c r="G394" s="1" t="s">
        <v>39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f t="shared" si="6"/>
        <v>0</v>
      </c>
      <c r="O394" s="1">
        <v>0</v>
      </c>
      <c r="P394" s="1"/>
      <c r="Q394" s="1">
        <v>64</v>
      </c>
    </row>
    <row r="395" spans="1:17">
      <c r="A395" s="1" t="s">
        <v>438</v>
      </c>
      <c r="B395" s="4">
        <v>45793</v>
      </c>
      <c r="C395" s="1" t="s">
        <v>1</v>
      </c>
      <c r="D395" s="1" t="s">
        <v>36</v>
      </c>
      <c r="E395" s="1" t="s">
        <v>32</v>
      </c>
      <c r="F395" s="1" t="s">
        <v>38</v>
      </c>
      <c r="G395" s="1" t="s">
        <v>34</v>
      </c>
      <c r="H395" s="1">
        <v>1</v>
      </c>
      <c r="I395" s="1">
        <v>1</v>
      </c>
      <c r="J395" s="1">
        <v>0</v>
      </c>
      <c r="K395" s="1">
        <v>0</v>
      </c>
      <c r="L395" s="1">
        <v>0</v>
      </c>
      <c r="M395" s="1">
        <v>0</v>
      </c>
      <c r="N395" s="1">
        <f t="shared" si="6"/>
        <v>0</v>
      </c>
      <c r="O395" s="1">
        <v>0</v>
      </c>
      <c r="P395" s="1"/>
      <c r="Q395" s="1">
        <v>56.2</v>
      </c>
    </row>
    <row r="396" spans="1:17">
      <c r="A396" s="1" t="s">
        <v>439</v>
      </c>
      <c r="B396" s="4">
        <v>45776</v>
      </c>
      <c r="C396" s="1" t="s">
        <v>1</v>
      </c>
      <c r="D396" s="1" t="s">
        <v>31</v>
      </c>
      <c r="E396" s="1" t="s">
        <v>37</v>
      </c>
      <c r="F396" s="1" t="s">
        <v>42</v>
      </c>
      <c r="G396" s="1" t="s">
        <v>39</v>
      </c>
      <c r="H396" s="1">
        <v>1</v>
      </c>
      <c r="I396" s="1">
        <v>1</v>
      </c>
      <c r="J396" s="1">
        <v>1</v>
      </c>
      <c r="K396" s="1">
        <v>0</v>
      </c>
      <c r="L396" s="1">
        <v>0</v>
      </c>
      <c r="M396" s="1">
        <v>0</v>
      </c>
      <c r="N396" s="1">
        <f t="shared" si="6"/>
        <v>0</v>
      </c>
      <c r="O396" s="1">
        <v>0</v>
      </c>
      <c r="P396" s="1"/>
      <c r="Q396" s="1">
        <v>77.5</v>
      </c>
    </row>
    <row r="397" spans="1:17">
      <c r="A397" s="1" t="s">
        <v>440</v>
      </c>
      <c r="B397" s="4">
        <v>45777</v>
      </c>
      <c r="C397" s="1" t="s">
        <v>1</v>
      </c>
      <c r="D397" s="1" t="s">
        <v>45</v>
      </c>
      <c r="E397" s="1" t="s">
        <v>32</v>
      </c>
      <c r="F397" s="1" t="s">
        <v>33</v>
      </c>
      <c r="G397" s="1" t="s">
        <v>34</v>
      </c>
      <c r="H397" s="1">
        <v>1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f t="shared" si="6"/>
        <v>0</v>
      </c>
      <c r="O397" s="1">
        <v>0</v>
      </c>
      <c r="P397" s="1"/>
      <c r="Q397" s="1">
        <v>59.9</v>
      </c>
    </row>
    <row r="398" spans="1:17">
      <c r="A398" s="1" t="s">
        <v>441</v>
      </c>
      <c r="B398" s="4">
        <v>45666</v>
      </c>
      <c r="C398" s="1" t="s">
        <v>1</v>
      </c>
      <c r="D398" s="1" t="s">
        <v>45</v>
      </c>
      <c r="E398" s="1" t="s">
        <v>32</v>
      </c>
      <c r="F398" s="1" t="s">
        <v>38</v>
      </c>
      <c r="G398" s="1" t="s">
        <v>39</v>
      </c>
      <c r="H398" s="1">
        <v>1</v>
      </c>
      <c r="I398" s="1">
        <v>1</v>
      </c>
      <c r="J398" s="1">
        <v>0</v>
      </c>
      <c r="K398" s="1">
        <v>0</v>
      </c>
      <c r="L398" s="1">
        <v>0</v>
      </c>
      <c r="M398" s="1">
        <v>0</v>
      </c>
      <c r="N398" s="1">
        <f t="shared" si="6"/>
        <v>0</v>
      </c>
      <c r="O398" s="1">
        <v>0</v>
      </c>
      <c r="P398" s="1"/>
      <c r="Q398" s="1">
        <v>63</v>
      </c>
    </row>
    <row r="399" spans="1:17">
      <c r="A399" s="1" t="s">
        <v>442</v>
      </c>
      <c r="B399" s="4">
        <v>45772</v>
      </c>
      <c r="C399" s="1" t="s">
        <v>1</v>
      </c>
      <c r="D399" s="1" t="s">
        <v>45</v>
      </c>
      <c r="E399" s="1" t="s">
        <v>37</v>
      </c>
      <c r="F399" s="1" t="s">
        <v>38</v>
      </c>
      <c r="G399" s="1" t="s">
        <v>39</v>
      </c>
      <c r="H399" s="1">
        <v>1</v>
      </c>
      <c r="I399" s="1">
        <v>1</v>
      </c>
      <c r="J399" s="1">
        <v>0</v>
      </c>
      <c r="K399" s="1">
        <v>0</v>
      </c>
      <c r="L399" s="1">
        <v>0</v>
      </c>
      <c r="M399" s="1">
        <v>0</v>
      </c>
      <c r="N399" s="1">
        <f t="shared" si="6"/>
        <v>0</v>
      </c>
      <c r="O399" s="1">
        <v>0</v>
      </c>
      <c r="P399" s="1"/>
      <c r="Q399" s="1">
        <v>76.5</v>
      </c>
    </row>
    <row r="400" spans="1:17">
      <c r="A400" s="1" t="s">
        <v>443</v>
      </c>
      <c r="B400" s="4">
        <v>45728</v>
      </c>
      <c r="C400" s="1" t="s">
        <v>1</v>
      </c>
      <c r="D400" s="1" t="s">
        <v>31</v>
      </c>
      <c r="E400" s="1" t="s">
        <v>32</v>
      </c>
      <c r="F400" s="1" t="s">
        <v>42</v>
      </c>
      <c r="G400" s="1" t="s">
        <v>39</v>
      </c>
      <c r="H400" s="1">
        <v>1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f t="shared" si="6"/>
        <v>0</v>
      </c>
      <c r="O400" s="1">
        <v>0</v>
      </c>
      <c r="P400" s="1"/>
      <c r="Q400" s="1">
        <v>39.700000000000003</v>
      </c>
    </row>
    <row r="401" spans="1:17">
      <c r="A401" s="1" t="s">
        <v>444</v>
      </c>
      <c r="B401" s="4">
        <v>45736</v>
      </c>
      <c r="C401" s="1" t="s">
        <v>1</v>
      </c>
      <c r="D401" s="1" t="s">
        <v>31</v>
      </c>
      <c r="E401" s="1" t="s">
        <v>37</v>
      </c>
      <c r="F401" s="1" t="s">
        <v>38</v>
      </c>
      <c r="G401" s="1" t="s">
        <v>39</v>
      </c>
      <c r="H401" s="1">
        <v>1</v>
      </c>
      <c r="I401" s="1">
        <v>1</v>
      </c>
      <c r="J401" s="1">
        <v>0</v>
      </c>
      <c r="K401" s="1">
        <v>0</v>
      </c>
      <c r="L401" s="1">
        <v>0</v>
      </c>
      <c r="M401" s="1">
        <v>0</v>
      </c>
      <c r="N401" s="1">
        <f t="shared" si="6"/>
        <v>0</v>
      </c>
      <c r="O401" s="1">
        <v>0</v>
      </c>
      <c r="P401" s="1"/>
      <c r="Q401" s="1">
        <v>80.2</v>
      </c>
    </row>
    <row r="402" spans="1:17">
      <c r="A402" s="1" t="s">
        <v>445</v>
      </c>
      <c r="B402" s="4">
        <v>45706</v>
      </c>
      <c r="C402" s="1" t="s">
        <v>1</v>
      </c>
      <c r="D402" s="1" t="s">
        <v>36</v>
      </c>
      <c r="E402" s="1" t="s">
        <v>37</v>
      </c>
      <c r="F402" s="1" t="s">
        <v>42</v>
      </c>
      <c r="G402" s="1" t="s">
        <v>39</v>
      </c>
      <c r="H402" s="1">
        <v>1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f t="shared" si="6"/>
        <v>0</v>
      </c>
      <c r="O402" s="1">
        <v>0</v>
      </c>
      <c r="P402" s="1"/>
      <c r="Q402" s="1">
        <v>72.2</v>
      </c>
    </row>
    <row r="403" spans="1:17">
      <c r="A403" s="1" t="s">
        <v>446</v>
      </c>
      <c r="B403" s="4">
        <v>45679</v>
      </c>
      <c r="C403" s="1" t="s">
        <v>1</v>
      </c>
      <c r="D403" s="1" t="s">
        <v>31</v>
      </c>
      <c r="E403" s="1" t="s">
        <v>37</v>
      </c>
      <c r="F403" s="1" t="s">
        <v>54</v>
      </c>
      <c r="G403" s="1" t="s">
        <v>34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f t="shared" si="6"/>
        <v>0</v>
      </c>
      <c r="O403" s="1">
        <v>0</v>
      </c>
      <c r="P403" s="1"/>
      <c r="Q403" s="1">
        <v>56</v>
      </c>
    </row>
    <row r="404" spans="1:17">
      <c r="A404" s="1" t="s">
        <v>447</v>
      </c>
      <c r="B404" s="4">
        <v>45696</v>
      </c>
      <c r="C404" s="1" t="s">
        <v>1</v>
      </c>
      <c r="D404" s="1" t="s">
        <v>36</v>
      </c>
      <c r="E404" s="1" t="s">
        <v>37</v>
      </c>
      <c r="F404" s="1" t="s">
        <v>33</v>
      </c>
      <c r="G404" s="1" t="s">
        <v>34</v>
      </c>
      <c r="H404" s="1">
        <v>1</v>
      </c>
      <c r="I404" s="1">
        <v>1</v>
      </c>
      <c r="J404" s="1">
        <v>1</v>
      </c>
      <c r="K404" s="1">
        <v>0</v>
      </c>
      <c r="L404" s="1">
        <v>0</v>
      </c>
      <c r="M404" s="1">
        <v>0</v>
      </c>
      <c r="N404" s="1">
        <f t="shared" si="6"/>
        <v>0</v>
      </c>
      <c r="O404" s="1">
        <v>0</v>
      </c>
      <c r="P404" s="1"/>
      <c r="Q404" s="1">
        <v>69.099999999999994</v>
      </c>
    </row>
    <row r="405" spans="1:17">
      <c r="A405" s="1" t="s">
        <v>448</v>
      </c>
      <c r="B405" s="4">
        <v>45677</v>
      </c>
      <c r="C405" s="1" t="s">
        <v>1</v>
      </c>
      <c r="D405" s="1" t="s">
        <v>31</v>
      </c>
      <c r="E405" s="1" t="s">
        <v>37</v>
      </c>
      <c r="F405" s="1" t="s">
        <v>33</v>
      </c>
      <c r="G405" s="1" t="s">
        <v>43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1</v>
      </c>
      <c r="N405" s="1">
        <f t="shared" si="6"/>
        <v>1</v>
      </c>
      <c r="O405" s="1">
        <v>0</v>
      </c>
      <c r="P405" s="1"/>
      <c r="Q405" s="1">
        <v>70.599999999999994</v>
      </c>
    </row>
    <row r="406" spans="1:17">
      <c r="A406" s="1" t="s">
        <v>449</v>
      </c>
      <c r="B406" s="4">
        <v>45769</v>
      </c>
      <c r="C406" s="1" t="s">
        <v>1</v>
      </c>
      <c r="D406" s="1" t="s">
        <v>36</v>
      </c>
      <c r="E406" s="1" t="s">
        <v>32</v>
      </c>
      <c r="F406" s="1" t="s">
        <v>52</v>
      </c>
      <c r="G406" s="1" t="s">
        <v>39</v>
      </c>
      <c r="H406" s="1">
        <v>1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f t="shared" si="6"/>
        <v>0</v>
      </c>
      <c r="O406" s="1">
        <v>0</v>
      </c>
      <c r="P406" s="1"/>
      <c r="Q406" s="1">
        <v>57.9</v>
      </c>
    </row>
    <row r="407" spans="1:17">
      <c r="A407" s="1" t="s">
        <v>450</v>
      </c>
      <c r="B407" s="4">
        <v>45679</v>
      </c>
      <c r="C407" s="1" t="s">
        <v>1</v>
      </c>
      <c r="D407" s="1" t="s">
        <v>41</v>
      </c>
      <c r="E407" s="1" t="s">
        <v>37</v>
      </c>
      <c r="F407" s="1" t="s">
        <v>38</v>
      </c>
      <c r="G407" s="1" t="s">
        <v>34</v>
      </c>
      <c r="H407" s="1">
        <v>1</v>
      </c>
      <c r="I407" s="1">
        <v>1</v>
      </c>
      <c r="J407" s="1">
        <v>0</v>
      </c>
      <c r="K407" s="1">
        <v>0</v>
      </c>
      <c r="L407" s="1">
        <v>0</v>
      </c>
      <c r="M407" s="1">
        <v>0</v>
      </c>
      <c r="N407" s="1">
        <f t="shared" si="6"/>
        <v>0</v>
      </c>
      <c r="O407" s="1">
        <v>0</v>
      </c>
      <c r="P407" s="1"/>
      <c r="Q407" s="1">
        <v>41.4</v>
      </c>
    </row>
    <row r="408" spans="1:17">
      <c r="A408" s="1" t="s">
        <v>451</v>
      </c>
      <c r="B408" s="4">
        <v>45788</v>
      </c>
      <c r="C408" s="1" t="s">
        <v>1</v>
      </c>
      <c r="D408" s="1" t="s">
        <v>36</v>
      </c>
      <c r="E408" s="1" t="s">
        <v>37</v>
      </c>
      <c r="F408" s="1" t="s">
        <v>38</v>
      </c>
      <c r="G408" s="1" t="s">
        <v>34</v>
      </c>
      <c r="H408" s="1">
        <v>1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f t="shared" si="6"/>
        <v>0</v>
      </c>
      <c r="O408" s="1">
        <v>0</v>
      </c>
      <c r="P408" s="1"/>
      <c r="Q408" s="1">
        <v>60.9</v>
      </c>
    </row>
    <row r="409" spans="1:17">
      <c r="A409" s="1" t="s">
        <v>452</v>
      </c>
      <c r="B409" s="4">
        <v>45694</v>
      </c>
      <c r="C409" s="1" t="s">
        <v>1</v>
      </c>
      <c r="D409" s="1" t="s">
        <v>45</v>
      </c>
      <c r="E409" s="1" t="s">
        <v>37</v>
      </c>
      <c r="F409" s="1" t="s">
        <v>38</v>
      </c>
      <c r="G409" s="1" t="s">
        <v>34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1</v>
      </c>
      <c r="N409" s="1">
        <f t="shared" si="6"/>
        <v>1</v>
      </c>
      <c r="O409" s="1">
        <v>0</v>
      </c>
      <c r="P409" s="1"/>
      <c r="Q409" s="1">
        <v>63.8</v>
      </c>
    </row>
    <row r="410" spans="1:17">
      <c r="A410" s="1" t="s">
        <v>453</v>
      </c>
      <c r="B410" s="4">
        <v>45709</v>
      </c>
      <c r="C410" s="1" t="s">
        <v>1</v>
      </c>
      <c r="D410" s="1" t="s">
        <v>31</v>
      </c>
      <c r="E410" s="1" t="s">
        <v>32</v>
      </c>
      <c r="F410" s="1" t="s">
        <v>38</v>
      </c>
      <c r="G410" s="1" t="s">
        <v>43</v>
      </c>
      <c r="H410" s="1">
        <v>1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f t="shared" si="6"/>
        <v>0</v>
      </c>
      <c r="O410" s="1">
        <v>0</v>
      </c>
      <c r="P410" s="1"/>
      <c r="Q410" s="1">
        <v>79.2</v>
      </c>
    </row>
    <row r="411" spans="1:17">
      <c r="A411" s="1" t="s">
        <v>454</v>
      </c>
      <c r="B411" s="4">
        <v>45670</v>
      </c>
      <c r="C411" s="1" t="s">
        <v>1</v>
      </c>
      <c r="D411" s="1" t="s">
        <v>36</v>
      </c>
      <c r="E411" s="1" t="s">
        <v>37</v>
      </c>
      <c r="F411" s="1" t="s">
        <v>33</v>
      </c>
      <c r="G411" s="1" t="s">
        <v>43</v>
      </c>
      <c r="H411" s="1">
        <v>1</v>
      </c>
      <c r="I411" s="1">
        <v>1</v>
      </c>
      <c r="J411" s="1">
        <v>1</v>
      </c>
      <c r="K411" s="1">
        <v>0</v>
      </c>
      <c r="L411" s="1">
        <v>0</v>
      </c>
      <c r="M411" s="1">
        <v>0</v>
      </c>
      <c r="N411" s="1">
        <f t="shared" si="6"/>
        <v>0</v>
      </c>
      <c r="O411" s="1">
        <v>0</v>
      </c>
      <c r="P411" s="1"/>
      <c r="Q411" s="1">
        <v>53.3</v>
      </c>
    </row>
    <row r="412" spans="1:17">
      <c r="A412" s="1" t="s">
        <v>455</v>
      </c>
      <c r="B412" s="4">
        <v>45723</v>
      </c>
      <c r="C412" s="1" t="s">
        <v>1</v>
      </c>
      <c r="D412" s="1" t="s">
        <v>31</v>
      </c>
      <c r="E412" s="1" t="s">
        <v>37</v>
      </c>
      <c r="F412" s="1" t="s">
        <v>52</v>
      </c>
      <c r="G412" s="1" t="s">
        <v>43</v>
      </c>
      <c r="H412" s="1">
        <v>1</v>
      </c>
      <c r="I412" s="1">
        <v>1</v>
      </c>
      <c r="J412" s="1">
        <v>1</v>
      </c>
      <c r="K412" s="1">
        <v>1</v>
      </c>
      <c r="L412" s="1">
        <v>2144.8200000000002</v>
      </c>
      <c r="M412" s="1">
        <v>0</v>
      </c>
      <c r="N412" s="1">
        <f t="shared" si="6"/>
        <v>0</v>
      </c>
      <c r="O412" s="1">
        <v>0</v>
      </c>
      <c r="P412" s="1">
        <v>6</v>
      </c>
      <c r="Q412" s="1">
        <v>52.3</v>
      </c>
    </row>
    <row r="413" spans="1:17">
      <c r="A413" s="1" t="s">
        <v>456</v>
      </c>
      <c r="B413" s="4">
        <v>45714</v>
      </c>
      <c r="C413" s="1" t="s">
        <v>1</v>
      </c>
      <c r="D413" s="1" t="s">
        <v>36</v>
      </c>
      <c r="E413" s="1" t="s">
        <v>32</v>
      </c>
      <c r="F413" s="1" t="s">
        <v>38</v>
      </c>
      <c r="G413" s="1" t="s">
        <v>34</v>
      </c>
      <c r="H413" s="1">
        <v>1</v>
      </c>
      <c r="I413" s="1">
        <v>1</v>
      </c>
      <c r="J413" s="1">
        <v>0</v>
      </c>
      <c r="K413" s="1">
        <v>0</v>
      </c>
      <c r="L413" s="1">
        <v>0</v>
      </c>
      <c r="M413" s="1">
        <v>0</v>
      </c>
      <c r="N413" s="1">
        <f t="shared" si="6"/>
        <v>0</v>
      </c>
      <c r="O413" s="1">
        <v>0</v>
      </c>
      <c r="P413" s="1"/>
      <c r="Q413" s="1">
        <v>62.4</v>
      </c>
    </row>
    <row r="414" spans="1:17">
      <c r="A414" s="1" t="s">
        <v>457</v>
      </c>
      <c r="B414" s="4">
        <v>45782</v>
      </c>
      <c r="C414" s="1" t="s">
        <v>1</v>
      </c>
      <c r="D414" s="1" t="s">
        <v>31</v>
      </c>
      <c r="E414" s="1" t="s">
        <v>37</v>
      </c>
      <c r="F414" s="1" t="s">
        <v>52</v>
      </c>
      <c r="G414" s="1" t="s">
        <v>43</v>
      </c>
      <c r="H414" s="1">
        <v>1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f t="shared" si="6"/>
        <v>0</v>
      </c>
      <c r="O414" s="1">
        <v>0</v>
      </c>
      <c r="P414" s="1"/>
      <c r="Q414" s="1">
        <v>45.5</v>
      </c>
    </row>
    <row r="415" spans="1:17">
      <c r="A415" s="1" t="s">
        <v>458</v>
      </c>
      <c r="B415" s="4">
        <v>45665</v>
      </c>
      <c r="C415" s="1" t="s">
        <v>1</v>
      </c>
      <c r="D415" s="1" t="s">
        <v>41</v>
      </c>
      <c r="E415" s="1" t="s">
        <v>32</v>
      </c>
      <c r="F415" s="1" t="s">
        <v>38</v>
      </c>
      <c r="G415" s="1" t="s">
        <v>34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1</v>
      </c>
      <c r="N415" s="1">
        <f t="shared" si="6"/>
        <v>1</v>
      </c>
      <c r="O415" s="1">
        <v>0</v>
      </c>
      <c r="P415" s="1"/>
      <c r="Q415" s="1">
        <v>72.599999999999994</v>
      </c>
    </row>
    <row r="416" spans="1:17">
      <c r="A416" s="1" t="s">
        <v>459</v>
      </c>
      <c r="B416" s="4">
        <v>45735</v>
      </c>
      <c r="C416" s="1" t="s">
        <v>1</v>
      </c>
      <c r="D416" s="1" t="s">
        <v>45</v>
      </c>
      <c r="E416" s="1" t="s">
        <v>37</v>
      </c>
      <c r="F416" s="1" t="s">
        <v>33</v>
      </c>
      <c r="G416" s="1" t="s">
        <v>43</v>
      </c>
      <c r="H416" s="1">
        <v>1</v>
      </c>
      <c r="I416" s="1">
        <v>1</v>
      </c>
      <c r="J416" s="1">
        <v>1</v>
      </c>
      <c r="K416" s="1">
        <v>0</v>
      </c>
      <c r="L416" s="1">
        <v>0</v>
      </c>
      <c r="M416" s="1">
        <v>0</v>
      </c>
      <c r="N416" s="1">
        <f t="shared" si="6"/>
        <v>0</v>
      </c>
      <c r="O416" s="1">
        <v>0</v>
      </c>
      <c r="P416" s="1"/>
      <c r="Q416" s="1">
        <v>50.1</v>
      </c>
    </row>
    <row r="417" spans="1:17">
      <c r="A417" s="1" t="s">
        <v>460</v>
      </c>
      <c r="B417" s="4">
        <v>45687</v>
      </c>
      <c r="C417" s="1" t="s">
        <v>1</v>
      </c>
      <c r="D417" s="1" t="s">
        <v>41</v>
      </c>
      <c r="E417" s="1" t="s">
        <v>32</v>
      </c>
      <c r="F417" s="1" t="s">
        <v>42</v>
      </c>
      <c r="G417" s="1" t="s">
        <v>39</v>
      </c>
      <c r="H417" s="1">
        <v>1</v>
      </c>
      <c r="I417" s="1">
        <v>1</v>
      </c>
      <c r="J417" s="1">
        <v>1</v>
      </c>
      <c r="K417" s="1">
        <v>0</v>
      </c>
      <c r="L417" s="1">
        <v>0</v>
      </c>
      <c r="M417" s="1">
        <v>2</v>
      </c>
      <c r="N417" s="1">
        <f t="shared" si="6"/>
        <v>1</v>
      </c>
      <c r="O417" s="1">
        <v>0</v>
      </c>
      <c r="P417" s="1"/>
      <c r="Q417" s="1">
        <v>58.1</v>
      </c>
    </row>
    <row r="418" spans="1:17">
      <c r="A418" s="1" t="s">
        <v>461</v>
      </c>
      <c r="B418" s="4">
        <v>45775</v>
      </c>
      <c r="C418" s="1" t="s">
        <v>1</v>
      </c>
      <c r="D418" s="1" t="s">
        <v>41</v>
      </c>
      <c r="E418" s="1" t="s">
        <v>37</v>
      </c>
      <c r="F418" s="1" t="s">
        <v>38</v>
      </c>
      <c r="G418" s="1" t="s">
        <v>34</v>
      </c>
      <c r="H418" s="1">
        <v>1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f t="shared" si="6"/>
        <v>0</v>
      </c>
      <c r="O418" s="1">
        <v>0</v>
      </c>
      <c r="P418" s="1"/>
      <c r="Q418" s="1">
        <v>42.9</v>
      </c>
    </row>
    <row r="419" spans="1:17">
      <c r="A419" s="1" t="s">
        <v>462</v>
      </c>
      <c r="B419" s="4">
        <v>45723</v>
      </c>
      <c r="C419" s="1" t="s">
        <v>1</v>
      </c>
      <c r="D419" s="1" t="s">
        <v>31</v>
      </c>
      <c r="E419" s="1" t="s">
        <v>37</v>
      </c>
      <c r="F419" s="1" t="s">
        <v>52</v>
      </c>
      <c r="G419" s="1" t="s">
        <v>34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f t="shared" si="6"/>
        <v>0</v>
      </c>
      <c r="O419" s="1">
        <v>0</v>
      </c>
      <c r="P419" s="1"/>
      <c r="Q419" s="1">
        <v>69.7</v>
      </c>
    </row>
    <row r="420" spans="1:17">
      <c r="A420" s="1" t="s">
        <v>463</v>
      </c>
      <c r="B420" s="4">
        <v>45754</v>
      </c>
      <c r="C420" s="1" t="s">
        <v>1</v>
      </c>
      <c r="D420" s="1" t="s">
        <v>31</v>
      </c>
      <c r="E420" s="1" t="s">
        <v>32</v>
      </c>
      <c r="F420" s="1" t="s">
        <v>38</v>
      </c>
      <c r="G420" s="1" t="s">
        <v>39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f t="shared" si="6"/>
        <v>0</v>
      </c>
      <c r="O420" s="1">
        <v>0</v>
      </c>
      <c r="P420" s="1"/>
      <c r="Q420" s="1">
        <v>63.3</v>
      </c>
    </row>
    <row r="421" spans="1:17">
      <c r="A421" s="1" t="s">
        <v>464</v>
      </c>
      <c r="B421" s="4">
        <v>45785</v>
      </c>
      <c r="C421" s="1" t="s">
        <v>1</v>
      </c>
      <c r="D421" s="1" t="s">
        <v>31</v>
      </c>
      <c r="E421" s="1" t="s">
        <v>32</v>
      </c>
      <c r="F421" s="1" t="s">
        <v>38</v>
      </c>
      <c r="G421" s="1" t="s">
        <v>43</v>
      </c>
      <c r="H421" s="1">
        <v>1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f t="shared" si="6"/>
        <v>0</v>
      </c>
      <c r="O421" s="1">
        <v>0</v>
      </c>
      <c r="P421" s="1"/>
      <c r="Q421" s="1">
        <v>71.2</v>
      </c>
    </row>
    <row r="422" spans="1:17">
      <c r="A422" s="1" t="s">
        <v>465</v>
      </c>
      <c r="B422" s="4">
        <v>45762</v>
      </c>
      <c r="C422" s="1" t="s">
        <v>1</v>
      </c>
      <c r="D422" s="1" t="s">
        <v>45</v>
      </c>
      <c r="E422" s="1" t="s">
        <v>37</v>
      </c>
      <c r="F422" s="1" t="s">
        <v>33</v>
      </c>
      <c r="G422" s="1" t="s">
        <v>39</v>
      </c>
      <c r="H422" s="1">
        <v>1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f t="shared" si="6"/>
        <v>0</v>
      </c>
      <c r="O422" s="1">
        <v>0</v>
      </c>
      <c r="P422" s="1"/>
      <c r="Q422" s="1">
        <v>39.1</v>
      </c>
    </row>
    <row r="423" spans="1:17">
      <c r="A423" s="1" t="s">
        <v>466</v>
      </c>
      <c r="B423" s="4">
        <v>45767</v>
      </c>
      <c r="C423" s="1" t="s">
        <v>1</v>
      </c>
      <c r="D423" s="1" t="s">
        <v>41</v>
      </c>
      <c r="E423" s="1" t="s">
        <v>32</v>
      </c>
      <c r="F423" s="1" t="s">
        <v>54</v>
      </c>
      <c r="G423" s="1" t="s">
        <v>39</v>
      </c>
      <c r="H423" s="1">
        <v>1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f t="shared" si="6"/>
        <v>0</v>
      </c>
      <c r="O423" s="1">
        <v>0</v>
      </c>
      <c r="P423" s="1"/>
      <c r="Q423" s="1">
        <v>42.6</v>
      </c>
    </row>
    <row r="424" spans="1:17">
      <c r="A424" s="1" t="s">
        <v>467</v>
      </c>
      <c r="B424" s="4">
        <v>45807</v>
      </c>
      <c r="C424" s="1" t="s">
        <v>1</v>
      </c>
      <c r="D424" s="1" t="s">
        <v>45</v>
      </c>
      <c r="E424" s="1" t="s">
        <v>47</v>
      </c>
      <c r="F424" s="1" t="s">
        <v>38</v>
      </c>
      <c r="G424" s="1" t="s">
        <v>39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f t="shared" si="6"/>
        <v>0</v>
      </c>
      <c r="O424" s="1">
        <v>0</v>
      </c>
      <c r="P424" s="1"/>
      <c r="Q424" s="1">
        <v>74.400000000000006</v>
      </c>
    </row>
    <row r="425" spans="1:17">
      <c r="A425" s="1" t="s">
        <v>468</v>
      </c>
      <c r="B425" s="4">
        <v>45701</v>
      </c>
      <c r="C425" s="1" t="s">
        <v>1</v>
      </c>
      <c r="D425" s="1" t="s">
        <v>36</v>
      </c>
      <c r="E425" s="1" t="s">
        <v>37</v>
      </c>
      <c r="F425" s="1" t="s">
        <v>52</v>
      </c>
      <c r="G425" s="1" t="s">
        <v>39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f t="shared" si="6"/>
        <v>0</v>
      </c>
      <c r="O425" s="1">
        <v>0</v>
      </c>
      <c r="P425" s="1"/>
      <c r="Q425" s="1">
        <v>55.6</v>
      </c>
    </row>
    <row r="426" spans="1:17">
      <c r="A426" s="1" t="s">
        <v>469</v>
      </c>
      <c r="B426" s="4">
        <v>45775</v>
      </c>
      <c r="C426" s="1" t="s">
        <v>1</v>
      </c>
      <c r="D426" s="1" t="s">
        <v>36</v>
      </c>
      <c r="E426" s="1" t="s">
        <v>37</v>
      </c>
      <c r="F426" s="1" t="s">
        <v>54</v>
      </c>
      <c r="G426" s="1" t="s">
        <v>39</v>
      </c>
      <c r="H426" s="1">
        <v>1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f t="shared" si="6"/>
        <v>0</v>
      </c>
      <c r="O426" s="1">
        <v>0</v>
      </c>
      <c r="P426" s="1"/>
      <c r="Q426" s="1">
        <v>35.799999999999997</v>
      </c>
    </row>
    <row r="427" spans="1:17">
      <c r="A427" s="1" t="s">
        <v>470</v>
      </c>
      <c r="B427" s="4">
        <v>45700</v>
      </c>
      <c r="C427" s="1" t="s">
        <v>1</v>
      </c>
      <c r="D427" s="1" t="s">
        <v>31</v>
      </c>
      <c r="E427" s="1" t="s">
        <v>37</v>
      </c>
      <c r="F427" s="1" t="s">
        <v>42</v>
      </c>
      <c r="G427" s="1" t="s">
        <v>34</v>
      </c>
      <c r="H427" s="1">
        <v>1</v>
      </c>
      <c r="I427" s="1">
        <v>0</v>
      </c>
      <c r="J427" s="1">
        <v>0</v>
      </c>
      <c r="K427" s="1">
        <v>0</v>
      </c>
      <c r="L427" s="1">
        <v>0</v>
      </c>
      <c r="M427" s="1">
        <v>1</v>
      </c>
      <c r="N427" s="1">
        <f t="shared" si="6"/>
        <v>1</v>
      </c>
      <c r="O427" s="1">
        <v>0</v>
      </c>
      <c r="P427" s="1"/>
      <c r="Q427" s="1">
        <v>28.2</v>
      </c>
    </row>
    <row r="428" spans="1:17">
      <c r="A428" s="1" t="s">
        <v>471</v>
      </c>
      <c r="B428" s="4">
        <v>45700</v>
      </c>
      <c r="C428" s="1" t="s">
        <v>1</v>
      </c>
      <c r="D428" s="1" t="s">
        <v>41</v>
      </c>
      <c r="E428" s="1" t="s">
        <v>37</v>
      </c>
      <c r="F428" s="1" t="s">
        <v>38</v>
      </c>
      <c r="G428" s="1" t="s">
        <v>39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2</v>
      </c>
      <c r="N428" s="1">
        <f t="shared" si="6"/>
        <v>1</v>
      </c>
      <c r="O428" s="1">
        <v>0</v>
      </c>
      <c r="P428" s="1"/>
      <c r="Q428" s="1">
        <v>44.4</v>
      </c>
    </row>
    <row r="429" spans="1:17">
      <c r="A429" s="1" t="s">
        <v>472</v>
      </c>
      <c r="B429" s="4">
        <v>45743</v>
      </c>
      <c r="C429" s="1" t="s">
        <v>1</v>
      </c>
      <c r="D429" s="1" t="s">
        <v>31</v>
      </c>
      <c r="E429" s="1" t="s">
        <v>37</v>
      </c>
      <c r="F429" s="1" t="s">
        <v>33</v>
      </c>
      <c r="G429" s="1" t="s">
        <v>43</v>
      </c>
      <c r="H429" s="1">
        <v>1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f t="shared" si="6"/>
        <v>0</v>
      </c>
      <c r="O429" s="1">
        <v>0</v>
      </c>
      <c r="P429" s="1"/>
      <c r="Q429" s="1">
        <v>49.9</v>
      </c>
    </row>
    <row r="430" spans="1:17">
      <c r="A430" s="1" t="s">
        <v>473</v>
      </c>
      <c r="B430" s="4">
        <v>45759</v>
      </c>
      <c r="C430" s="1" t="s">
        <v>1</v>
      </c>
      <c r="D430" s="1" t="s">
        <v>45</v>
      </c>
      <c r="E430" s="1" t="s">
        <v>32</v>
      </c>
      <c r="F430" s="1" t="s">
        <v>38</v>
      </c>
      <c r="G430" s="1" t="s">
        <v>39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f t="shared" si="6"/>
        <v>0</v>
      </c>
      <c r="O430" s="1">
        <v>0</v>
      </c>
      <c r="P430" s="1"/>
      <c r="Q430" s="1">
        <v>40.4</v>
      </c>
    </row>
    <row r="431" spans="1:17">
      <c r="A431" s="1" t="s">
        <v>474</v>
      </c>
      <c r="B431" s="4">
        <v>45687</v>
      </c>
      <c r="C431" s="1" t="s">
        <v>1</v>
      </c>
      <c r="D431" s="1" t="s">
        <v>36</v>
      </c>
      <c r="E431" s="1" t="s">
        <v>37</v>
      </c>
      <c r="F431" s="1" t="s">
        <v>54</v>
      </c>
      <c r="G431" s="1" t="s">
        <v>39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f t="shared" si="6"/>
        <v>0</v>
      </c>
      <c r="O431" s="1">
        <v>0</v>
      </c>
      <c r="P431" s="1"/>
      <c r="Q431" s="1">
        <v>60.4</v>
      </c>
    </row>
    <row r="432" spans="1:17">
      <c r="A432" s="1" t="s">
        <v>475</v>
      </c>
      <c r="B432" s="4">
        <v>45805</v>
      </c>
      <c r="C432" s="1" t="s">
        <v>1</v>
      </c>
      <c r="D432" s="1" t="s">
        <v>36</v>
      </c>
      <c r="E432" s="1" t="s">
        <v>37</v>
      </c>
      <c r="F432" s="1" t="s">
        <v>54</v>
      </c>
      <c r="G432" s="1" t="s">
        <v>43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1</v>
      </c>
      <c r="N432" s="1">
        <f t="shared" si="6"/>
        <v>1</v>
      </c>
      <c r="O432" s="1">
        <v>0</v>
      </c>
      <c r="P432" s="1"/>
      <c r="Q432" s="1">
        <v>52.4</v>
      </c>
    </row>
    <row r="433" spans="1:17">
      <c r="A433" s="1" t="s">
        <v>476</v>
      </c>
      <c r="B433" s="4">
        <v>45778</v>
      </c>
      <c r="C433" s="1" t="s">
        <v>1</v>
      </c>
      <c r="D433" s="1" t="s">
        <v>45</v>
      </c>
      <c r="E433" s="1" t="s">
        <v>37</v>
      </c>
      <c r="F433" s="1" t="s">
        <v>38</v>
      </c>
      <c r="G433" s="1" t="s">
        <v>34</v>
      </c>
      <c r="H433" s="1">
        <v>1</v>
      </c>
      <c r="I433" s="1">
        <v>1</v>
      </c>
      <c r="J433" s="1">
        <v>0</v>
      </c>
      <c r="K433" s="1">
        <v>0</v>
      </c>
      <c r="L433" s="1">
        <v>0</v>
      </c>
      <c r="M433" s="1">
        <v>0</v>
      </c>
      <c r="N433" s="1">
        <f t="shared" si="6"/>
        <v>0</v>
      </c>
      <c r="O433" s="1">
        <v>0</v>
      </c>
      <c r="P433" s="1"/>
      <c r="Q433" s="1">
        <v>48.8</v>
      </c>
    </row>
    <row r="434" spans="1:17">
      <c r="A434" s="1" t="s">
        <v>140</v>
      </c>
      <c r="B434" s="4">
        <v>45693</v>
      </c>
      <c r="C434" s="1" t="s">
        <v>1</v>
      </c>
      <c r="D434" s="1" t="s">
        <v>41</v>
      </c>
      <c r="E434" s="1" t="s">
        <v>37</v>
      </c>
      <c r="F434" s="1" t="s">
        <v>54</v>
      </c>
      <c r="G434" s="1" t="s">
        <v>39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f t="shared" si="6"/>
        <v>0</v>
      </c>
      <c r="O434" s="1">
        <v>0</v>
      </c>
      <c r="P434" s="1"/>
      <c r="Q434" s="1">
        <v>68</v>
      </c>
    </row>
    <row r="435" spans="1:17">
      <c r="A435" s="1" t="s">
        <v>477</v>
      </c>
      <c r="B435" s="4">
        <v>45667</v>
      </c>
      <c r="C435" s="1" t="s">
        <v>1</v>
      </c>
      <c r="D435" s="1" t="s">
        <v>45</v>
      </c>
      <c r="E435" s="1" t="s">
        <v>32</v>
      </c>
      <c r="F435" s="1" t="s">
        <v>54</v>
      </c>
      <c r="G435" s="1" t="s">
        <v>34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f t="shared" si="6"/>
        <v>0</v>
      </c>
      <c r="O435" s="1">
        <v>0</v>
      </c>
      <c r="P435" s="1"/>
      <c r="Q435" s="1">
        <v>68.2</v>
      </c>
    </row>
    <row r="436" spans="1:17">
      <c r="A436" s="1" t="s">
        <v>478</v>
      </c>
      <c r="B436" s="4">
        <v>45779</v>
      </c>
      <c r="C436" s="1" t="s">
        <v>1</v>
      </c>
      <c r="D436" s="1" t="s">
        <v>31</v>
      </c>
      <c r="E436" s="1" t="s">
        <v>32</v>
      </c>
      <c r="F436" s="1" t="s">
        <v>38</v>
      </c>
      <c r="G436" s="1" t="s">
        <v>34</v>
      </c>
      <c r="H436" s="1">
        <v>1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f t="shared" si="6"/>
        <v>0</v>
      </c>
      <c r="O436" s="1">
        <v>0</v>
      </c>
      <c r="P436" s="1"/>
      <c r="Q436" s="1">
        <v>65.599999999999994</v>
      </c>
    </row>
    <row r="437" spans="1:17">
      <c r="A437" s="1" t="s">
        <v>479</v>
      </c>
      <c r="B437" s="4">
        <v>45803</v>
      </c>
      <c r="C437" s="1" t="s">
        <v>1</v>
      </c>
      <c r="D437" s="1" t="s">
        <v>31</v>
      </c>
      <c r="E437" s="1" t="s">
        <v>32</v>
      </c>
      <c r="F437" s="1" t="s">
        <v>38</v>
      </c>
      <c r="G437" s="1" t="s">
        <v>34</v>
      </c>
      <c r="H437" s="1">
        <v>1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f t="shared" si="6"/>
        <v>0</v>
      </c>
      <c r="O437" s="1">
        <v>0</v>
      </c>
      <c r="P437" s="1"/>
      <c r="Q437" s="1">
        <v>65.400000000000006</v>
      </c>
    </row>
    <row r="438" spans="1:17">
      <c r="A438" s="1" t="s">
        <v>480</v>
      </c>
      <c r="B438" s="4">
        <v>45669</v>
      </c>
      <c r="C438" s="1" t="s">
        <v>1</v>
      </c>
      <c r="D438" s="1" t="s">
        <v>36</v>
      </c>
      <c r="E438" s="1" t="s">
        <v>37</v>
      </c>
      <c r="F438" s="1" t="s">
        <v>38</v>
      </c>
      <c r="G438" s="1" t="s">
        <v>34</v>
      </c>
      <c r="H438" s="1">
        <v>1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f t="shared" si="6"/>
        <v>0</v>
      </c>
      <c r="O438" s="1">
        <v>0</v>
      </c>
      <c r="P438" s="1"/>
      <c r="Q438" s="1">
        <v>78.900000000000006</v>
      </c>
    </row>
    <row r="439" spans="1:17">
      <c r="A439" s="1" t="s">
        <v>481</v>
      </c>
      <c r="B439" s="4">
        <v>45804</v>
      </c>
      <c r="C439" s="1" t="s">
        <v>1</v>
      </c>
      <c r="D439" s="1" t="s">
        <v>41</v>
      </c>
      <c r="E439" s="1" t="s">
        <v>37</v>
      </c>
      <c r="F439" s="1" t="s">
        <v>42</v>
      </c>
      <c r="G439" s="1" t="s">
        <v>34</v>
      </c>
      <c r="H439" s="1">
        <v>1</v>
      </c>
      <c r="I439" s="1">
        <v>1</v>
      </c>
      <c r="J439" s="1">
        <v>1</v>
      </c>
      <c r="K439" s="1">
        <v>0</v>
      </c>
      <c r="L439" s="1">
        <v>0</v>
      </c>
      <c r="M439" s="1">
        <v>0</v>
      </c>
      <c r="N439" s="1">
        <f t="shared" si="6"/>
        <v>0</v>
      </c>
      <c r="O439" s="1">
        <v>0</v>
      </c>
      <c r="P439" s="1"/>
      <c r="Q439" s="1">
        <v>78.3</v>
      </c>
    </row>
    <row r="440" spans="1:17">
      <c r="A440" s="1" t="s">
        <v>482</v>
      </c>
      <c r="B440" s="4">
        <v>45799</v>
      </c>
      <c r="C440" s="1" t="s">
        <v>1</v>
      </c>
      <c r="D440" s="1" t="s">
        <v>36</v>
      </c>
      <c r="E440" s="1" t="s">
        <v>32</v>
      </c>
      <c r="F440" s="1" t="s">
        <v>33</v>
      </c>
      <c r="G440" s="1" t="s">
        <v>34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f t="shared" si="6"/>
        <v>0</v>
      </c>
      <c r="O440" s="1">
        <v>0</v>
      </c>
      <c r="P440" s="1"/>
      <c r="Q440" s="1">
        <v>49.2</v>
      </c>
    </row>
    <row r="441" spans="1:17">
      <c r="A441" s="1" t="s">
        <v>483</v>
      </c>
      <c r="B441" s="4">
        <v>45748</v>
      </c>
      <c r="C441" s="1" t="s">
        <v>1</v>
      </c>
      <c r="D441" s="1" t="s">
        <v>41</v>
      </c>
      <c r="E441" s="1" t="s">
        <v>37</v>
      </c>
      <c r="F441" s="1" t="s">
        <v>54</v>
      </c>
      <c r="G441" s="1" t="s">
        <v>43</v>
      </c>
      <c r="H441" s="1">
        <v>1</v>
      </c>
      <c r="I441" s="1">
        <v>1</v>
      </c>
      <c r="J441" s="1">
        <v>1</v>
      </c>
      <c r="K441" s="1">
        <v>1</v>
      </c>
      <c r="L441" s="1">
        <v>1518.83</v>
      </c>
      <c r="M441" s="1">
        <v>0</v>
      </c>
      <c r="N441" s="1">
        <f t="shared" si="6"/>
        <v>0</v>
      </c>
      <c r="O441" s="1">
        <v>0</v>
      </c>
      <c r="P441" s="1">
        <v>9</v>
      </c>
      <c r="Q441" s="1">
        <v>32.200000000000003</v>
      </c>
    </row>
    <row r="442" spans="1:17">
      <c r="A442" s="1" t="s">
        <v>484</v>
      </c>
      <c r="B442" s="4">
        <v>45679</v>
      </c>
      <c r="C442" s="1" t="s">
        <v>1</v>
      </c>
      <c r="D442" s="1" t="s">
        <v>31</v>
      </c>
      <c r="E442" s="1" t="s">
        <v>37</v>
      </c>
      <c r="F442" s="1" t="s">
        <v>42</v>
      </c>
      <c r="G442" s="1" t="s">
        <v>34</v>
      </c>
      <c r="H442" s="1">
        <v>1</v>
      </c>
      <c r="I442" s="1">
        <v>1</v>
      </c>
      <c r="J442" s="1">
        <v>1</v>
      </c>
      <c r="K442" s="1">
        <v>0</v>
      </c>
      <c r="L442" s="1">
        <v>0</v>
      </c>
      <c r="M442" s="1">
        <v>0</v>
      </c>
      <c r="N442" s="1">
        <f t="shared" si="6"/>
        <v>0</v>
      </c>
      <c r="O442" s="1">
        <v>0</v>
      </c>
      <c r="P442" s="1"/>
      <c r="Q442" s="1">
        <v>46.3</v>
      </c>
    </row>
    <row r="443" spans="1:17">
      <c r="A443" s="1" t="s">
        <v>485</v>
      </c>
      <c r="B443" s="4">
        <v>45801</v>
      </c>
      <c r="C443" s="1" t="s">
        <v>1</v>
      </c>
      <c r="D443" s="1" t="s">
        <v>41</v>
      </c>
      <c r="E443" s="1" t="s">
        <v>37</v>
      </c>
      <c r="F443" s="1" t="s">
        <v>42</v>
      </c>
      <c r="G443" s="1" t="s">
        <v>34</v>
      </c>
      <c r="H443" s="1">
        <v>1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f t="shared" si="6"/>
        <v>0</v>
      </c>
      <c r="O443" s="1">
        <v>0</v>
      </c>
      <c r="P443" s="1"/>
      <c r="Q443" s="1">
        <v>55.7</v>
      </c>
    </row>
    <row r="444" spans="1:17">
      <c r="A444" s="1" t="s">
        <v>486</v>
      </c>
      <c r="B444" s="4">
        <v>45772</v>
      </c>
      <c r="C444" s="1" t="s">
        <v>1</v>
      </c>
      <c r="D444" s="1" t="s">
        <v>45</v>
      </c>
      <c r="E444" s="1" t="s">
        <v>37</v>
      </c>
      <c r="F444" s="1" t="s">
        <v>54</v>
      </c>
      <c r="G444" s="1" t="s">
        <v>39</v>
      </c>
      <c r="H444" s="1">
        <v>1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f t="shared" si="6"/>
        <v>0</v>
      </c>
      <c r="O444" s="1">
        <v>0</v>
      </c>
      <c r="P444" s="1"/>
      <c r="Q444" s="1">
        <v>44.5</v>
      </c>
    </row>
    <row r="445" spans="1:17">
      <c r="A445" s="1" t="s">
        <v>487</v>
      </c>
      <c r="B445" s="4">
        <v>45759</v>
      </c>
      <c r="C445" s="1" t="s">
        <v>1</v>
      </c>
      <c r="D445" s="1" t="s">
        <v>36</v>
      </c>
      <c r="E445" s="1" t="s">
        <v>32</v>
      </c>
      <c r="F445" s="1" t="s">
        <v>52</v>
      </c>
      <c r="G445" s="1" t="s">
        <v>39</v>
      </c>
      <c r="H445" s="1">
        <v>1</v>
      </c>
      <c r="I445" s="1">
        <v>1</v>
      </c>
      <c r="J445" s="1">
        <v>1</v>
      </c>
      <c r="K445" s="1">
        <v>0</v>
      </c>
      <c r="L445" s="1">
        <v>0</v>
      </c>
      <c r="M445" s="1">
        <v>1</v>
      </c>
      <c r="N445" s="1">
        <f t="shared" si="6"/>
        <v>1</v>
      </c>
      <c r="O445" s="1">
        <v>0</v>
      </c>
      <c r="P445" s="1"/>
      <c r="Q445" s="1">
        <v>47.9</v>
      </c>
    </row>
    <row r="446" spans="1:17">
      <c r="A446" s="1" t="s">
        <v>488</v>
      </c>
      <c r="B446" s="4">
        <v>45770</v>
      </c>
      <c r="C446" s="1" t="s">
        <v>1</v>
      </c>
      <c r="D446" s="1" t="s">
        <v>45</v>
      </c>
      <c r="E446" s="1" t="s">
        <v>37</v>
      </c>
      <c r="F446" s="1" t="s">
        <v>38</v>
      </c>
      <c r="G446" s="1" t="s">
        <v>43</v>
      </c>
      <c r="H446" s="1">
        <v>1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f t="shared" si="6"/>
        <v>0</v>
      </c>
      <c r="O446" s="1">
        <v>0</v>
      </c>
      <c r="P446" s="1"/>
      <c r="Q446" s="1">
        <v>43.9</v>
      </c>
    </row>
    <row r="447" spans="1:17">
      <c r="A447" s="1" t="s">
        <v>489</v>
      </c>
      <c r="B447" s="4">
        <v>45746</v>
      </c>
      <c r="C447" s="1" t="s">
        <v>1</v>
      </c>
      <c r="D447" s="1" t="s">
        <v>31</v>
      </c>
      <c r="E447" s="1" t="s">
        <v>32</v>
      </c>
      <c r="F447" s="1" t="s">
        <v>52</v>
      </c>
      <c r="G447" s="1" t="s">
        <v>39</v>
      </c>
      <c r="H447" s="1">
        <v>1</v>
      </c>
      <c r="I447" s="1">
        <v>1</v>
      </c>
      <c r="J447" s="1">
        <v>1</v>
      </c>
      <c r="K447" s="1">
        <v>0</v>
      </c>
      <c r="L447" s="1">
        <v>0</v>
      </c>
      <c r="M447" s="1">
        <v>1</v>
      </c>
      <c r="N447" s="1">
        <f t="shared" si="6"/>
        <v>1</v>
      </c>
      <c r="O447" s="1">
        <v>0</v>
      </c>
      <c r="P447" s="1"/>
      <c r="Q447" s="1">
        <v>67.7</v>
      </c>
    </row>
    <row r="448" spans="1:17">
      <c r="A448" s="1" t="s">
        <v>490</v>
      </c>
      <c r="B448" s="4">
        <v>45675</v>
      </c>
      <c r="C448" s="1" t="s">
        <v>1</v>
      </c>
      <c r="D448" s="1" t="s">
        <v>41</v>
      </c>
      <c r="E448" s="1" t="s">
        <v>37</v>
      </c>
      <c r="F448" s="1" t="s">
        <v>52</v>
      </c>
      <c r="G448" s="1" t="s">
        <v>34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f t="shared" si="6"/>
        <v>0</v>
      </c>
      <c r="O448" s="1">
        <v>0</v>
      </c>
      <c r="P448" s="1"/>
      <c r="Q448" s="1">
        <v>43.7</v>
      </c>
    </row>
    <row r="449" spans="1:17">
      <c r="A449" s="1" t="s">
        <v>491</v>
      </c>
      <c r="B449" s="4">
        <v>45756</v>
      </c>
      <c r="C449" s="1" t="s">
        <v>1</v>
      </c>
      <c r="D449" s="1" t="s">
        <v>41</v>
      </c>
      <c r="E449" s="1" t="s">
        <v>37</v>
      </c>
      <c r="F449" s="1" t="s">
        <v>38</v>
      </c>
      <c r="G449" s="1" t="s">
        <v>39</v>
      </c>
      <c r="H449" s="1">
        <v>1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f t="shared" si="6"/>
        <v>0</v>
      </c>
      <c r="O449" s="1">
        <v>0</v>
      </c>
      <c r="P449" s="1"/>
      <c r="Q449" s="1">
        <v>68.8</v>
      </c>
    </row>
    <row r="450" spans="1:17">
      <c r="A450" s="1" t="s">
        <v>492</v>
      </c>
      <c r="B450" s="4">
        <v>45668</v>
      </c>
      <c r="C450" s="1" t="s">
        <v>1</v>
      </c>
      <c r="D450" s="1" t="s">
        <v>36</v>
      </c>
      <c r="E450" s="1" t="s">
        <v>37</v>
      </c>
      <c r="F450" s="1" t="s">
        <v>38</v>
      </c>
      <c r="G450" s="1" t="s">
        <v>39</v>
      </c>
      <c r="H450" s="1">
        <v>1</v>
      </c>
      <c r="I450" s="1">
        <v>1</v>
      </c>
      <c r="J450" s="1">
        <v>1</v>
      </c>
      <c r="K450" s="1">
        <v>0</v>
      </c>
      <c r="L450" s="1">
        <v>0</v>
      </c>
      <c r="M450" s="1">
        <v>0</v>
      </c>
      <c r="N450" s="1">
        <f t="shared" si="6"/>
        <v>0</v>
      </c>
      <c r="O450" s="1">
        <v>0</v>
      </c>
      <c r="P450" s="1"/>
      <c r="Q450" s="1">
        <v>59.2</v>
      </c>
    </row>
    <row r="451" spans="1:17">
      <c r="A451" s="1" t="s">
        <v>493</v>
      </c>
      <c r="B451" s="4">
        <v>45721</v>
      </c>
      <c r="C451" s="1" t="s">
        <v>1</v>
      </c>
      <c r="D451" s="1" t="s">
        <v>41</v>
      </c>
      <c r="E451" s="1" t="s">
        <v>37</v>
      </c>
      <c r="F451" s="1" t="s">
        <v>42</v>
      </c>
      <c r="G451" s="1" t="s">
        <v>39</v>
      </c>
      <c r="H451" s="1">
        <v>1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f t="shared" ref="N451:N514" si="7">IF(M451&gt;0,1,0)</f>
        <v>0</v>
      </c>
      <c r="O451" s="1">
        <v>0</v>
      </c>
      <c r="P451" s="1"/>
      <c r="Q451" s="1">
        <v>48.6</v>
      </c>
    </row>
    <row r="452" spans="1:17">
      <c r="A452" s="1" t="s">
        <v>494</v>
      </c>
      <c r="B452" s="4">
        <v>45705</v>
      </c>
      <c r="C452" s="1" t="s">
        <v>1</v>
      </c>
      <c r="D452" s="1" t="s">
        <v>31</v>
      </c>
      <c r="E452" s="1" t="s">
        <v>47</v>
      </c>
      <c r="F452" s="1" t="s">
        <v>54</v>
      </c>
      <c r="G452" s="1" t="s">
        <v>39</v>
      </c>
      <c r="H452" s="1">
        <v>1</v>
      </c>
      <c r="I452" s="1">
        <v>1</v>
      </c>
      <c r="J452" s="1">
        <v>1</v>
      </c>
      <c r="K452" s="1">
        <v>0</v>
      </c>
      <c r="L452" s="1">
        <v>0</v>
      </c>
      <c r="M452" s="1">
        <v>0</v>
      </c>
      <c r="N452" s="1">
        <f t="shared" si="7"/>
        <v>0</v>
      </c>
      <c r="O452" s="1">
        <v>0</v>
      </c>
      <c r="P452" s="1"/>
      <c r="Q452" s="1">
        <v>56.9</v>
      </c>
    </row>
    <row r="453" spans="1:17">
      <c r="A453" s="1" t="s">
        <v>495</v>
      </c>
      <c r="B453" s="4">
        <v>45784</v>
      </c>
      <c r="C453" s="1" t="s">
        <v>1</v>
      </c>
      <c r="D453" s="1" t="s">
        <v>31</v>
      </c>
      <c r="E453" s="1" t="s">
        <v>32</v>
      </c>
      <c r="F453" s="1" t="s">
        <v>42</v>
      </c>
      <c r="G453" s="1" t="s">
        <v>39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f t="shared" si="7"/>
        <v>0</v>
      </c>
      <c r="O453" s="1">
        <v>0</v>
      </c>
      <c r="P453" s="1"/>
      <c r="Q453" s="1">
        <v>55.8</v>
      </c>
    </row>
    <row r="454" spans="1:17">
      <c r="A454" s="1" t="s">
        <v>496</v>
      </c>
      <c r="B454" s="4">
        <v>45757</v>
      </c>
      <c r="C454" s="1" t="s">
        <v>1</v>
      </c>
      <c r="D454" s="1" t="s">
        <v>41</v>
      </c>
      <c r="E454" s="1" t="s">
        <v>37</v>
      </c>
      <c r="F454" s="1" t="s">
        <v>42</v>
      </c>
      <c r="G454" s="1" t="s">
        <v>43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f t="shared" si="7"/>
        <v>0</v>
      </c>
      <c r="O454" s="1">
        <v>0</v>
      </c>
      <c r="P454" s="1"/>
      <c r="Q454" s="1">
        <v>63.3</v>
      </c>
    </row>
    <row r="455" spans="1:17">
      <c r="A455" s="1" t="s">
        <v>497</v>
      </c>
      <c r="B455" s="4">
        <v>45768</v>
      </c>
      <c r="C455" s="1" t="s">
        <v>1</v>
      </c>
      <c r="D455" s="1" t="s">
        <v>31</v>
      </c>
      <c r="E455" s="1" t="s">
        <v>37</v>
      </c>
      <c r="F455" s="1" t="s">
        <v>54</v>
      </c>
      <c r="G455" s="1" t="s">
        <v>39</v>
      </c>
      <c r="H455" s="1">
        <v>1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f t="shared" si="7"/>
        <v>0</v>
      </c>
      <c r="O455" s="1">
        <v>0</v>
      </c>
      <c r="P455" s="1"/>
      <c r="Q455" s="1">
        <v>52.2</v>
      </c>
    </row>
    <row r="456" spans="1:17">
      <c r="A456" s="1" t="s">
        <v>498</v>
      </c>
      <c r="B456" s="4">
        <v>45713</v>
      </c>
      <c r="C456" s="1" t="s">
        <v>1</v>
      </c>
      <c r="D456" s="1" t="s">
        <v>45</v>
      </c>
      <c r="E456" s="1" t="s">
        <v>47</v>
      </c>
      <c r="F456" s="1"/>
      <c r="G456" s="1" t="s">
        <v>39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f t="shared" si="7"/>
        <v>0</v>
      </c>
      <c r="O456" s="1">
        <v>0</v>
      </c>
      <c r="P456" s="1"/>
      <c r="Q456" s="1">
        <v>51.5</v>
      </c>
    </row>
    <row r="457" spans="1:17">
      <c r="A457" s="1" t="s">
        <v>499</v>
      </c>
      <c r="B457" s="4">
        <v>45791</v>
      </c>
      <c r="C457" s="1" t="s">
        <v>1</v>
      </c>
      <c r="D457" s="1" t="s">
        <v>41</v>
      </c>
      <c r="E457" s="1" t="s">
        <v>32</v>
      </c>
      <c r="F457" s="1" t="s">
        <v>38</v>
      </c>
      <c r="G457" s="1" t="s">
        <v>39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f t="shared" si="7"/>
        <v>0</v>
      </c>
      <c r="O457" s="1">
        <v>0</v>
      </c>
      <c r="P457" s="1"/>
      <c r="Q457" s="1">
        <v>50.3</v>
      </c>
    </row>
    <row r="458" spans="1:17">
      <c r="A458" s="1" t="s">
        <v>500</v>
      </c>
      <c r="B458" s="4">
        <v>45726</v>
      </c>
      <c r="C458" s="1" t="s">
        <v>1</v>
      </c>
      <c r="D458" s="1" t="s">
        <v>31</v>
      </c>
      <c r="E458" s="1" t="s">
        <v>37</v>
      </c>
      <c r="F458" s="1" t="s">
        <v>33</v>
      </c>
      <c r="G458" s="1" t="s">
        <v>34</v>
      </c>
      <c r="H458" s="1">
        <v>1</v>
      </c>
      <c r="I458" s="1">
        <v>0</v>
      </c>
      <c r="J458" s="1">
        <v>0</v>
      </c>
      <c r="K458" s="1">
        <v>0</v>
      </c>
      <c r="L458" s="1">
        <v>0</v>
      </c>
      <c r="M458" s="1">
        <v>1</v>
      </c>
      <c r="N458" s="1">
        <f t="shared" si="7"/>
        <v>1</v>
      </c>
      <c r="O458" s="1">
        <v>0</v>
      </c>
      <c r="P458" s="1"/>
      <c r="Q458" s="1">
        <v>35.4</v>
      </c>
    </row>
    <row r="459" spans="1:17">
      <c r="A459" s="1" t="s">
        <v>501</v>
      </c>
      <c r="B459" s="4">
        <v>45688</v>
      </c>
      <c r="C459" s="1" t="s">
        <v>1</v>
      </c>
      <c r="D459" s="1" t="s">
        <v>36</v>
      </c>
      <c r="E459" s="1" t="s">
        <v>32</v>
      </c>
      <c r="F459" s="1" t="s">
        <v>38</v>
      </c>
      <c r="G459" s="1" t="s">
        <v>43</v>
      </c>
      <c r="H459" s="1">
        <v>1</v>
      </c>
      <c r="I459" s="1">
        <v>0</v>
      </c>
      <c r="J459" s="1">
        <v>0</v>
      </c>
      <c r="K459" s="1">
        <v>0</v>
      </c>
      <c r="L459" s="1">
        <v>0</v>
      </c>
      <c r="M459" s="1">
        <v>1</v>
      </c>
      <c r="N459" s="1">
        <f t="shared" si="7"/>
        <v>1</v>
      </c>
      <c r="O459" s="1">
        <v>0</v>
      </c>
      <c r="P459" s="1"/>
      <c r="Q459" s="1">
        <v>54.1</v>
      </c>
    </row>
    <row r="460" spans="1:17">
      <c r="A460" s="1" t="s">
        <v>502</v>
      </c>
      <c r="B460" s="4">
        <v>45674</v>
      </c>
      <c r="C460" s="1" t="s">
        <v>1</v>
      </c>
      <c r="D460" s="1" t="s">
        <v>45</v>
      </c>
      <c r="E460" s="1" t="s">
        <v>37</v>
      </c>
      <c r="F460" s="1" t="s">
        <v>38</v>
      </c>
      <c r="G460" s="1" t="s">
        <v>43</v>
      </c>
      <c r="H460" s="1">
        <v>1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f t="shared" si="7"/>
        <v>0</v>
      </c>
      <c r="O460" s="1">
        <v>0</v>
      </c>
      <c r="P460" s="1"/>
      <c r="Q460" s="1">
        <v>56.2</v>
      </c>
    </row>
    <row r="461" spans="1:17">
      <c r="A461" s="1" t="s">
        <v>503</v>
      </c>
      <c r="B461" s="4">
        <v>45728</v>
      </c>
      <c r="C461" s="1" t="s">
        <v>1</v>
      </c>
      <c r="D461" s="1" t="s">
        <v>45</v>
      </c>
      <c r="E461" s="1" t="s">
        <v>37</v>
      </c>
      <c r="F461" s="1" t="s">
        <v>42</v>
      </c>
      <c r="G461" s="1" t="s">
        <v>39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3</v>
      </c>
      <c r="N461" s="1">
        <f t="shared" si="7"/>
        <v>1</v>
      </c>
      <c r="O461" s="1">
        <v>0</v>
      </c>
      <c r="P461" s="1"/>
      <c r="Q461" s="1">
        <v>43.7</v>
      </c>
    </row>
    <row r="462" spans="1:17">
      <c r="A462" s="1" t="s">
        <v>504</v>
      </c>
      <c r="B462" s="4">
        <v>45716</v>
      </c>
      <c r="C462" s="1" t="s">
        <v>1</v>
      </c>
      <c r="D462" s="1" t="s">
        <v>36</v>
      </c>
      <c r="E462" s="1" t="s">
        <v>32</v>
      </c>
      <c r="F462" s="1" t="s">
        <v>38</v>
      </c>
      <c r="G462" s="1" t="s">
        <v>43</v>
      </c>
      <c r="H462" s="1">
        <v>1</v>
      </c>
      <c r="I462" s="1">
        <v>1</v>
      </c>
      <c r="J462" s="1">
        <v>0</v>
      </c>
      <c r="K462" s="1">
        <v>0</v>
      </c>
      <c r="L462" s="1">
        <v>0</v>
      </c>
      <c r="M462" s="1">
        <v>0</v>
      </c>
      <c r="N462" s="1">
        <f t="shared" si="7"/>
        <v>0</v>
      </c>
      <c r="O462" s="1">
        <v>0</v>
      </c>
      <c r="P462" s="1"/>
      <c r="Q462" s="1">
        <v>51.3</v>
      </c>
    </row>
    <row r="463" spans="1:17">
      <c r="A463" s="1" t="s">
        <v>505</v>
      </c>
      <c r="B463" s="4">
        <v>45796</v>
      </c>
      <c r="C463" s="1" t="s">
        <v>1</v>
      </c>
      <c r="D463" s="1" t="s">
        <v>31</v>
      </c>
      <c r="E463" s="1"/>
      <c r="F463" s="1" t="s">
        <v>38</v>
      </c>
      <c r="G463" s="1" t="s">
        <v>34</v>
      </c>
      <c r="H463" s="1">
        <v>1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f t="shared" si="7"/>
        <v>0</v>
      </c>
      <c r="O463" s="1">
        <v>0</v>
      </c>
      <c r="P463" s="1"/>
      <c r="Q463" s="1">
        <v>50.5</v>
      </c>
    </row>
    <row r="464" spans="1:17">
      <c r="A464" s="1" t="s">
        <v>506</v>
      </c>
      <c r="B464" s="4">
        <v>45711</v>
      </c>
      <c r="C464" s="1" t="s">
        <v>1</v>
      </c>
      <c r="D464" s="1" t="s">
        <v>31</v>
      </c>
      <c r="E464" s="1" t="s">
        <v>37</v>
      </c>
      <c r="F464" s="1" t="s">
        <v>52</v>
      </c>
      <c r="G464" s="1" t="s">
        <v>34</v>
      </c>
      <c r="H464" s="1">
        <v>1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f t="shared" si="7"/>
        <v>0</v>
      </c>
      <c r="O464" s="1">
        <v>0</v>
      </c>
      <c r="P464" s="1"/>
      <c r="Q464" s="1">
        <v>57.3</v>
      </c>
    </row>
    <row r="465" spans="1:17">
      <c r="A465" s="1" t="s">
        <v>507</v>
      </c>
      <c r="B465" s="4">
        <v>45708</v>
      </c>
      <c r="C465" s="1" t="s">
        <v>1</v>
      </c>
      <c r="D465" s="1" t="s">
        <v>36</v>
      </c>
      <c r="E465" s="1" t="s">
        <v>32</v>
      </c>
      <c r="F465" s="1" t="s">
        <v>38</v>
      </c>
      <c r="G465" s="1" t="s">
        <v>39</v>
      </c>
      <c r="H465" s="1">
        <v>1</v>
      </c>
      <c r="I465" s="1">
        <v>1</v>
      </c>
      <c r="J465" s="1">
        <v>1</v>
      </c>
      <c r="K465" s="1">
        <v>0</v>
      </c>
      <c r="L465" s="1">
        <v>0</v>
      </c>
      <c r="M465" s="1">
        <v>0</v>
      </c>
      <c r="N465" s="1">
        <f t="shared" si="7"/>
        <v>0</v>
      </c>
      <c r="O465" s="1">
        <v>0</v>
      </c>
      <c r="P465" s="1"/>
      <c r="Q465" s="1">
        <v>58.4</v>
      </c>
    </row>
    <row r="466" spans="1:17">
      <c r="A466" s="1" t="s">
        <v>508</v>
      </c>
      <c r="B466" s="4">
        <v>45759</v>
      </c>
      <c r="C466" s="1" t="s">
        <v>1</v>
      </c>
      <c r="D466" s="1" t="s">
        <v>31</v>
      </c>
      <c r="E466" s="1" t="s">
        <v>37</v>
      </c>
      <c r="F466" s="1"/>
      <c r="G466" s="1" t="s">
        <v>39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f t="shared" si="7"/>
        <v>0</v>
      </c>
      <c r="O466" s="1">
        <v>0</v>
      </c>
      <c r="P466" s="1"/>
      <c r="Q466" s="1">
        <v>56.5</v>
      </c>
    </row>
    <row r="467" spans="1:17">
      <c r="A467" s="1" t="s">
        <v>509</v>
      </c>
      <c r="B467" s="4">
        <v>45665</v>
      </c>
      <c r="C467" s="1" t="s">
        <v>1</v>
      </c>
      <c r="D467" s="1" t="s">
        <v>36</v>
      </c>
      <c r="E467" s="1" t="s">
        <v>37</v>
      </c>
      <c r="F467" s="1" t="s">
        <v>33</v>
      </c>
      <c r="G467" s="1" t="s">
        <v>39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f t="shared" si="7"/>
        <v>0</v>
      </c>
      <c r="O467" s="1">
        <v>0</v>
      </c>
      <c r="P467" s="1"/>
      <c r="Q467" s="1">
        <v>69.599999999999994</v>
      </c>
    </row>
    <row r="468" spans="1:17">
      <c r="A468" s="1" t="s">
        <v>510</v>
      </c>
      <c r="B468" s="4">
        <v>45701</v>
      </c>
      <c r="C468" s="1" t="s">
        <v>1</v>
      </c>
      <c r="D468" s="1" t="s">
        <v>36</v>
      </c>
      <c r="E468" s="1" t="s">
        <v>37</v>
      </c>
      <c r="F468" s="1" t="s">
        <v>38</v>
      </c>
      <c r="G468" s="1" t="s">
        <v>34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f t="shared" si="7"/>
        <v>0</v>
      </c>
      <c r="O468" s="1">
        <v>0</v>
      </c>
      <c r="P468" s="1"/>
      <c r="Q468" s="1">
        <v>6.2</v>
      </c>
    </row>
    <row r="469" spans="1:17">
      <c r="A469" s="1" t="s">
        <v>511</v>
      </c>
      <c r="B469" s="4">
        <v>45798</v>
      </c>
      <c r="C469" s="1" t="s">
        <v>1</v>
      </c>
      <c r="D469" s="1" t="s">
        <v>41</v>
      </c>
      <c r="E469" s="1" t="s">
        <v>32</v>
      </c>
      <c r="F469" s="1" t="s">
        <v>33</v>
      </c>
      <c r="G469" s="1" t="s">
        <v>39</v>
      </c>
      <c r="H469" s="1">
        <v>1</v>
      </c>
      <c r="I469" s="1">
        <v>1</v>
      </c>
      <c r="J469" s="1">
        <v>1</v>
      </c>
      <c r="K469" s="1">
        <v>0</v>
      </c>
      <c r="L469" s="1">
        <v>0</v>
      </c>
      <c r="M469" s="1">
        <v>0</v>
      </c>
      <c r="N469" s="1">
        <f t="shared" si="7"/>
        <v>0</v>
      </c>
      <c r="O469" s="1">
        <v>0</v>
      </c>
      <c r="P469" s="1"/>
      <c r="Q469" s="1">
        <v>54.3</v>
      </c>
    </row>
    <row r="470" spans="1:17">
      <c r="A470" s="1" t="s">
        <v>512</v>
      </c>
      <c r="B470" s="4">
        <v>45807</v>
      </c>
      <c r="C470" s="1" t="s">
        <v>1</v>
      </c>
      <c r="D470" s="1" t="s">
        <v>31</v>
      </c>
      <c r="E470" s="1" t="s">
        <v>37</v>
      </c>
      <c r="F470" s="1" t="s">
        <v>38</v>
      </c>
      <c r="G470" s="1" t="s">
        <v>34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f t="shared" si="7"/>
        <v>0</v>
      </c>
      <c r="O470" s="1">
        <v>0</v>
      </c>
      <c r="P470" s="1"/>
      <c r="Q470" s="1">
        <v>59.8</v>
      </c>
    </row>
    <row r="471" spans="1:17">
      <c r="A471" s="1" t="s">
        <v>513</v>
      </c>
      <c r="B471" s="4">
        <v>45797</v>
      </c>
      <c r="C471" s="1" t="s">
        <v>1</v>
      </c>
      <c r="D471" s="1" t="s">
        <v>36</v>
      </c>
      <c r="E471" s="1" t="s">
        <v>37</v>
      </c>
      <c r="F471" s="1" t="s">
        <v>42</v>
      </c>
      <c r="G471" s="1" t="s">
        <v>39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f t="shared" si="7"/>
        <v>0</v>
      </c>
      <c r="O471" s="1">
        <v>0</v>
      </c>
      <c r="P471" s="1"/>
      <c r="Q471" s="1">
        <v>58.9</v>
      </c>
    </row>
    <row r="472" spans="1:17">
      <c r="A472" s="1" t="s">
        <v>514</v>
      </c>
      <c r="B472" s="4">
        <v>45666</v>
      </c>
      <c r="C472" s="1" t="s">
        <v>1</v>
      </c>
      <c r="D472" s="1" t="s">
        <v>41</v>
      </c>
      <c r="E472" s="1" t="s">
        <v>32</v>
      </c>
      <c r="F472" s="1" t="s">
        <v>38</v>
      </c>
      <c r="G472" s="1" t="s">
        <v>39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1</v>
      </c>
      <c r="N472" s="1">
        <f t="shared" si="7"/>
        <v>1</v>
      </c>
      <c r="O472" s="1">
        <v>0</v>
      </c>
      <c r="P472" s="1"/>
      <c r="Q472" s="1">
        <v>52.9</v>
      </c>
    </row>
    <row r="473" spans="1:17">
      <c r="A473" s="1" t="s">
        <v>515</v>
      </c>
      <c r="B473" s="4">
        <v>45723</v>
      </c>
      <c r="C473" s="1" t="s">
        <v>1</v>
      </c>
      <c r="D473" s="1" t="s">
        <v>36</v>
      </c>
      <c r="E473" s="1" t="s">
        <v>37</v>
      </c>
      <c r="F473" s="1" t="s">
        <v>38</v>
      </c>
      <c r="G473" s="1" t="s">
        <v>39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f t="shared" si="7"/>
        <v>0</v>
      </c>
      <c r="O473" s="1">
        <v>0</v>
      </c>
      <c r="P473" s="1"/>
      <c r="Q473" s="1">
        <v>67.8</v>
      </c>
    </row>
    <row r="474" spans="1:17">
      <c r="A474" s="1" t="s">
        <v>516</v>
      </c>
      <c r="B474" s="4">
        <v>45770</v>
      </c>
      <c r="C474" s="1" t="s">
        <v>1</v>
      </c>
      <c r="D474" s="1" t="s">
        <v>45</v>
      </c>
      <c r="E474" s="1" t="s">
        <v>37</v>
      </c>
      <c r="F474" s="1" t="s">
        <v>54</v>
      </c>
      <c r="G474" s="1" t="s">
        <v>39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f t="shared" si="7"/>
        <v>0</v>
      </c>
      <c r="O474" s="1">
        <v>0</v>
      </c>
      <c r="P474" s="1"/>
      <c r="Q474" s="1">
        <v>48.7</v>
      </c>
    </row>
    <row r="475" spans="1:17">
      <c r="A475" s="1" t="s">
        <v>517</v>
      </c>
      <c r="B475" s="4">
        <v>45724</v>
      </c>
      <c r="C475" s="1" t="s">
        <v>1</v>
      </c>
      <c r="D475" s="1" t="s">
        <v>41</v>
      </c>
      <c r="E475" s="1" t="s">
        <v>37</v>
      </c>
      <c r="F475" s="1" t="s">
        <v>38</v>
      </c>
      <c r="G475" s="1" t="s">
        <v>34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f t="shared" si="7"/>
        <v>0</v>
      </c>
      <c r="O475" s="1">
        <v>0</v>
      </c>
      <c r="P475" s="1"/>
      <c r="Q475" s="1">
        <v>59</v>
      </c>
    </row>
    <row r="476" spans="1:17">
      <c r="A476" s="1" t="s">
        <v>518</v>
      </c>
      <c r="B476" s="4">
        <v>45702</v>
      </c>
      <c r="C476" s="1" t="s">
        <v>1</v>
      </c>
      <c r="D476" s="1" t="s">
        <v>45</v>
      </c>
      <c r="E476" s="1" t="s">
        <v>37</v>
      </c>
      <c r="F476" s="1" t="s">
        <v>52</v>
      </c>
      <c r="G476" s="1" t="s">
        <v>39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f t="shared" si="7"/>
        <v>0</v>
      </c>
      <c r="O476" s="1">
        <v>0</v>
      </c>
      <c r="P476" s="1"/>
      <c r="Q476" s="1">
        <v>63.2</v>
      </c>
    </row>
    <row r="477" spans="1:17">
      <c r="A477" s="1" t="s">
        <v>519</v>
      </c>
      <c r="B477" s="4">
        <v>45794</v>
      </c>
      <c r="C477" s="1" t="s">
        <v>1</v>
      </c>
      <c r="D477" s="1" t="s">
        <v>36</v>
      </c>
      <c r="E477" s="1" t="s">
        <v>37</v>
      </c>
      <c r="F477" s="1" t="s">
        <v>52</v>
      </c>
      <c r="G477" s="1" t="s">
        <v>34</v>
      </c>
      <c r="H477" s="1">
        <v>1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f t="shared" si="7"/>
        <v>0</v>
      </c>
      <c r="O477" s="1">
        <v>0</v>
      </c>
      <c r="P477" s="1"/>
      <c r="Q477" s="1">
        <v>68.7</v>
      </c>
    </row>
    <row r="478" spans="1:17">
      <c r="A478" s="1" t="s">
        <v>520</v>
      </c>
      <c r="B478" s="4">
        <v>45772</v>
      </c>
      <c r="C478" s="1" t="s">
        <v>1</v>
      </c>
      <c r="D478" s="1" t="s">
        <v>45</v>
      </c>
      <c r="E478" s="1" t="s">
        <v>37</v>
      </c>
      <c r="F478" s="1" t="s">
        <v>52</v>
      </c>
      <c r="G478" s="1" t="s">
        <v>39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f t="shared" si="7"/>
        <v>0</v>
      </c>
      <c r="O478" s="1">
        <v>0</v>
      </c>
      <c r="P478" s="1"/>
      <c r="Q478" s="1">
        <v>52.1</v>
      </c>
    </row>
    <row r="479" spans="1:17">
      <c r="A479" s="1" t="s">
        <v>521</v>
      </c>
      <c r="B479" s="4">
        <v>45720</v>
      </c>
      <c r="C479" s="1" t="s">
        <v>1</v>
      </c>
      <c r="D479" s="1" t="s">
        <v>45</v>
      </c>
      <c r="E479" s="1" t="s">
        <v>32</v>
      </c>
      <c r="F479" s="1" t="s">
        <v>54</v>
      </c>
      <c r="G479" s="1" t="s">
        <v>34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f t="shared" si="7"/>
        <v>0</v>
      </c>
      <c r="O479" s="1">
        <v>0</v>
      </c>
      <c r="P479" s="1"/>
      <c r="Q479" s="1">
        <v>56.5</v>
      </c>
    </row>
    <row r="480" spans="1:17">
      <c r="A480" s="1" t="s">
        <v>522</v>
      </c>
      <c r="B480" s="4">
        <v>45734</v>
      </c>
      <c r="C480" s="1" t="s">
        <v>1</v>
      </c>
      <c r="D480" s="1" t="s">
        <v>45</v>
      </c>
      <c r="E480" s="1" t="s">
        <v>37</v>
      </c>
      <c r="F480" s="1" t="s">
        <v>38</v>
      </c>
      <c r="G480" s="1" t="s">
        <v>39</v>
      </c>
      <c r="H480" s="1">
        <v>1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f t="shared" si="7"/>
        <v>0</v>
      </c>
      <c r="O480" s="1">
        <v>0</v>
      </c>
      <c r="P480" s="1"/>
      <c r="Q480" s="1">
        <v>64.400000000000006</v>
      </c>
    </row>
    <row r="481" spans="1:17">
      <c r="A481" s="1" t="s">
        <v>523</v>
      </c>
      <c r="B481" s="4">
        <v>45687</v>
      </c>
      <c r="C481" s="1" t="s">
        <v>1</v>
      </c>
      <c r="D481" s="1" t="s">
        <v>36</v>
      </c>
      <c r="E481" s="1" t="s">
        <v>37</v>
      </c>
      <c r="F481" s="1" t="s">
        <v>42</v>
      </c>
      <c r="G481" s="1" t="s">
        <v>43</v>
      </c>
      <c r="H481" s="1">
        <v>1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f t="shared" si="7"/>
        <v>0</v>
      </c>
      <c r="O481" s="1">
        <v>0</v>
      </c>
      <c r="P481" s="1"/>
      <c r="Q481" s="1">
        <v>65.900000000000006</v>
      </c>
    </row>
    <row r="482" spans="1:17">
      <c r="A482" s="1" t="s">
        <v>524</v>
      </c>
      <c r="B482" s="4">
        <v>45797</v>
      </c>
      <c r="C482" s="1" t="s">
        <v>1</v>
      </c>
      <c r="D482" s="1" t="s">
        <v>36</v>
      </c>
      <c r="E482" s="1" t="s">
        <v>47</v>
      </c>
      <c r="F482" s="1" t="s">
        <v>52</v>
      </c>
      <c r="G482" s="1" t="s">
        <v>39</v>
      </c>
      <c r="H482" s="1">
        <v>1</v>
      </c>
      <c r="I482" s="1">
        <v>1</v>
      </c>
      <c r="J482" s="1">
        <v>1</v>
      </c>
      <c r="K482" s="1">
        <v>0</v>
      </c>
      <c r="L482" s="1">
        <v>0</v>
      </c>
      <c r="M482" s="1">
        <v>0</v>
      </c>
      <c r="N482" s="1">
        <f t="shared" si="7"/>
        <v>0</v>
      </c>
      <c r="O482" s="1">
        <v>0</v>
      </c>
      <c r="P482" s="1"/>
      <c r="Q482" s="1">
        <v>100</v>
      </c>
    </row>
    <row r="483" spans="1:17">
      <c r="A483" s="1" t="s">
        <v>525</v>
      </c>
      <c r="B483" s="4">
        <v>45701</v>
      </c>
      <c r="C483" s="1" t="s">
        <v>1</v>
      </c>
      <c r="D483" s="1" t="s">
        <v>31</v>
      </c>
      <c r="E483" s="1"/>
      <c r="F483" s="1" t="s">
        <v>38</v>
      </c>
      <c r="G483" s="1" t="s">
        <v>34</v>
      </c>
      <c r="H483" s="1">
        <v>1</v>
      </c>
      <c r="I483" s="1">
        <v>1</v>
      </c>
      <c r="J483" s="1">
        <v>1</v>
      </c>
      <c r="K483" s="1">
        <v>0</v>
      </c>
      <c r="L483" s="1">
        <v>0</v>
      </c>
      <c r="M483" s="1">
        <v>0</v>
      </c>
      <c r="N483" s="1">
        <f t="shared" si="7"/>
        <v>0</v>
      </c>
      <c r="O483" s="1">
        <v>0</v>
      </c>
      <c r="P483" s="1"/>
      <c r="Q483" s="1">
        <v>50.4</v>
      </c>
    </row>
    <row r="484" spans="1:17">
      <c r="A484" s="1" t="s">
        <v>526</v>
      </c>
      <c r="B484" s="4">
        <v>45759</v>
      </c>
      <c r="C484" s="1" t="s">
        <v>1</v>
      </c>
      <c r="D484" s="1" t="s">
        <v>36</v>
      </c>
      <c r="E484" s="1" t="s">
        <v>32</v>
      </c>
      <c r="F484" s="1" t="s">
        <v>38</v>
      </c>
      <c r="G484" s="1" t="s">
        <v>34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f t="shared" si="7"/>
        <v>0</v>
      </c>
      <c r="O484" s="1">
        <v>0</v>
      </c>
      <c r="P484" s="1"/>
      <c r="Q484" s="1">
        <v>41.5</v>
      </c>
    </row>
    <row r="485" spans="1:17">
      <c r="A485" s="1" t="s">
        <v>527</v>
      </c>
      <c r="B485" s="4">
        <v>45754</v>
      </c>
      <c r="C485" s="1" t="s">
        <v>1</v>
      </c>
      <c r="D485" s="1" t="s">
        <v>31</v>
      </c>
      <c r="E485" s="1" t="s">
        <v>37</v>
      </c>
      <c r="F485" s="1" t="s">
        <v>33</v>
      </c>
      <c r="G485" s="1" t="s">
        <v>39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f t="shared" si="7"/>
        <v>0</v>
      </c>
      <c r="O485" s="1">
        <v>0</v>
      </c>
      <c r="P485" s="1"/>
      <c r="Q485" s="1">
        <v>86.2</v>
      </c>
    </row>
    <row r="486" spans="1:17">
      <c r="A486" s="1" t="s">
        <v>528</v>
      </c>
      <c r="B486" s="4">
        <v>45728</v>
      </c>
      <c r="C486" s="1" t="s">
        <v>1</v>
      </c>
      <c r="D486" s="1" t="s">
        <v>31</v>
      </c>
      <c r="E486" s="1" t="s">
        <v>32</v>
      </c>
      <c r="F486" s="1" t="s">
        <v>54</v>
      </c>
      <c r="G486" s="1" t="s">
        <v>39</v>
      </c>
      <c r="H486" s="1">
        <v>1</v>
      </c>
      <c r="I486" s="1">
        <v>1</v>
      </c>
      <c r="J486" s="1">
        <v>1</v>
      </c>
      <c r="K486" s="1">
        <v>0</v>
      </c>
      <c r="L486" s="1">
        <v>0</v>
      </c>
      <c r="M486" s="1">
        <v>2</v>
      </c>
      <c r="N486" s="1">
        <f t="shared" si="7"/>
        <v>1</v>
      </c>
      <c r="O486" s="1">
        <v>0</v>
      </c>
      <c r="P486" s="1"/>
      <c r="Q486" s="1">
        <v>50.8</v>
      </c>
    </row>
    <row r="487" spans="1:17">
      <c r="A487" s="1" t="s">
        <v>529</v>
      </c>
      <c r="B487" s="4">
        <v>45695</v>
      </c>
      <c r="C487" s="1" t="s">
        <v>1</v>
      </c>
      <c r="D487" s="1" t="s">
        <v>36</v>
      </c>
      <c r="E487" s="1" t="s">
        <v>37</v>
      </c>
      <c r="F487" s="1" t="s">
        <v>38</v>
      </c>
      <c r="G487" s="1" t="s">
        <v>39</v>
      </c>
      <c r="H487" s="1">
        <v>1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f t="shared" si="7"/>
        <v>0</v>
      </c>
      <c r="O487" s="1">
        <v>0</v>
      </c>
      <c r="P487" s="1"/>
      <c r="Q487" s="1">
        <v>50.9</v>
      </c>
    </row>
    <row r="488" spans="1:17">
      <c r="A488" s="1" t="s">
        <v>530</v>
      </c>
      <c r="B488" s="4">
        <v>45782</v>
      </c>
      <c r="C488" s="1" t="s">
        <v>1</v>
      </c>
      <c r="D488" s="1" t="s">
        <v>31</v>
      </c>
      <c r="E488" s="1" t="s">
        <v>37</v>
      </c>
      <c r="F488" s="1" t="s">
        <v>38</v>
      </c>
      <c r="G488" s="1" t="s">
        <v>43</v>
      </c>
      <c r="H488" s="1">
        <v>1</v>
      </c>
      <c r="I488" s="1">
        <v>1</v>
      </c>
      <c r="J488" s="1">
        <v>0</v>
      </c>
      <c r="K488" s="1">
        <v>0</v>
      </c>
      <c r="L488" s="1">
        <v>0</v>
      </c>
      <c r="M488" s="1">
        <v>0</v>
      </c>
      <c r="N488" s="1">
        <f t="shared" si="7"/>
        <v>0</v>
      </c>
      <c r="O488" s="1">
        <v>0</v>
      </c>
      <c r="P488" s="1"/>
      <c r="Q488" s="1">
        <v>87.5</v>
      </c>
    </row>
    <row r="489" spans="1:17">
      <c r="A489" s="1" t="s">
        <v>531</v>
      </c>
      <c r="B489" s="4">
        <v>45734</v>
      </c>
      <c r="C489" s="1" t="s">
        <v>1</v>
      </c>
      <c r="D489" s="1" t="s">
        <v>45</v>
      </c>
      <c r="E489" s="1" t="s">
        <v>37</v>
      </c>
      <c r="F489" s="1" t="s">
        <v>52</v>
      </c>
      <c r="G489" s="1" t="s">
        <v>39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f t="shared" si="7"/>
        <v>0</v>
      </c>
      <c r="O489" s="1">
        <v>0</v>
      </c>
      <c r="P489" s="1"/>
      <c r="Q489" s="1">
        <v>43.6</v>
      </c>
    </row>
    <row r="490" spans="1:17">
      <c r="A490" s="1" t="s">
        <v>532</v>
      </c>
      <c r="B490" s="4">
        <v>45662</v>
      </c>
      <c r="C490" s="1" t="s">
        <v>1</v>
      </c>
      <c r="D490" s="1" t="s">
        <v>45</v>
      </c>
      <c r="E490" s="1" t="s">
        <v>37</v>
      </c>
      <c r="F490" s="1" t="s">
        <v>42</v>
      </c>
      <c r="G490" s="1" t="s">
        <v>34</v>
      </c>
      <c r="H490" s="1">
        <v>1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f t="shared" si="7"/>
        <v>0</v>
      </c>
      <c r="O490" s="1">
        <v>0</v>
      </c>
      <c r="P490" s="1"/>
      <c r="Q490" s="1">
        <v>55.5</v>
      </c>
    </row>
    <row r="491" spans="1:17">
      <c r="A491" s="1" t="s">
        <v>533</v>
      </c>
      <c r="B491" s="4">
        <v>45787</v>
      </c>
      <c r="C491" s="1" t="s">
        <v>1</v>
      </c>
      <c r="D491" s="1" t="s">
        <v>45</v>
      </c>
      <c r="E491" s="1" t="s">
        <v>32</v>
      </c>
      <c r="F491" s="1" t="s">
        <v>52</v>
      </c>
      <c r="G491" s="1" t="s">
        <v>34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f t="shared" si="7"/>
        <v>0</v>
      </c>
      <c r="O491" s="1">
        <v>0</v>
      </c>
      <c r="P491" s="1"/>
      <c r="Q491" s="1">
        <v>78.599999999999994</v>
      </c>
    </row>
    <row r="492" spans="1:17">
      <c r="A492" s="1" t="s">
        <v>534</v>
      </c>
      <c r="B492" s="4">
        <v>45660</v>
      </c>
      <c r="C492" s="1" t="s">
        <v>1</v>
      </c>
      <c r="D492" s="1" t="s">
        <v>45</v>
      </c>
      <c r="E492" s="1" t="s">
        <v>37</v>
      </c>
      <c r="F492" s="1" t="s">
        <v>54</v>
      </c>
      <c r="G492" s="1" t="s">
        <v>34</v>
      </c>
      <c r="H492" s="1">
        <v>1</v>
      </c>
      <c r="I492" s="1">
        <v>1</v>
      </c>
      <c r="J492" s="1">
        <v>0</v>
      </c>
      <c r="K492" s="1">
        <v>0</v>
      </c>
      <c r="L492" s="1">
        <v>0</v>
      </c>
      <c r="M492" s="1">
        <v>1</v>
      </c>
      <c r="N492" s="1">
        <f t="shared" si="7"/>
        <v>1</v>
      </c>
      <c r="O492" s="1">
        <v>0</v>
      </c>
      <c r="P492" s="1"/>
      <c r="Q492" s="1">
        <v>44.3</v>
      </c>
    </row>
    <row r="493" spans="1:17">
      <c r="A493" s="1" t="s">
        <v>535</v>
      </c>
      <c r="B493" s="4">
        <v>45785</v>
      </c>
      <c r="C493" s="1" t="s">
        <v>1</v>
      </c>
      <c r="D493" s="1" t="s">
        <v>45</v>
      </c>
      <c r="E493" s="1" t="s">
        <v>37</v>
      </c>
      <c r="F493" s="1" t="s">
        <v>42</v>
      </c>
      <c r="G493" s="1" t="s">
        <v>39</v>
      </c>
      <c r="H493" s="1">
        <v>1</v>
      </c>
      <c r="I493" s="1">
        <v>1</v>
      </c>
      <c r="J493" s="1">
        <v>0</v>
      </c>
      <c r="K493" s="1">
        <v>0</v>
      </c>
      <c r="L493" s="1">
        <v>0</v>
      </c>
      <c r="M493" s="1">
        <v>0</v>
      </c>
      <c r="N493" s="1">
        <f t="shared" si="7"/>
        <v>0</v>
      </c>
      <c r="O493" s="1">
        <v>0</v>
      </c>
      <c r="P493" s="1"/>
      <c r="Q493" s="1">
        <v>45.2</v>
      </c>
    </row>
    <row r="494" spans="1:17">
      <c r="A494" s="1" t="s">
        <v>536</v>
      </c>
      <c r="B494" s="4">
        <v>45721</v>
      </c>
      <c r="C494" s="1" t="s">
        <v>1</v>
      </c>
      <c r="D494" s="1" t="s">
        <v>45</v>
      </c>
      <c r="E494" s="1" t="s">
        <v>32</v>
      </c>
      <c r="F494" s="1" t="s">
        <v>33</v>
      </c>
      <c r="G494" s="1" t="s">
        <v>34</v>
      </c>
      <c r="H494" s="1">
        <v>1</v>
      </c>
      <c r="I494" s="1">
        <v>0</v>
      </c>
      <c r="J494" s="1">
        <v>0</v>
      </c>
      <c r="K494" s="1">
        <v>0</v>
      </c>
      <c r="L494" s="1">
        <v>0</v>
      </c>
      <c r="M494" s="1">
        <v>2</v>
      </c>
      <c r="N494" s="1">
        <f t="shared" si="7"/>
        <v>1</v>
      </c>
      <c r="O494" s="1">
        <v>0</v>
      </c>
      <c r="P494" s="1"/>
      <c r="Q494" s="1">
        <v>46.1</v>
      </c>
    </row>
    <row r="495" spans="1:17">
      <c r="A495" s="1" t="s">
        <v>537</v>
      </c>
      <c r="B495" s="4">
        <v>45705</v>
      </c>
      <c r="C495" s="1" t="s">
        <v>1</v>
      </c>
      <c r="D495" s="1" t="s">
        <v>31</v>
      </c>
      <c r="E495" s="1" t="s">
        <v>37</v>
      </c>
      <c r="F495" s="1" t="s">
        <v>38</v>
      </c>
      <c r="G495" s="1" t="s">
        <v>43</v>
      </c>
      <c r="H495" s="1">
        <v>1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f t="shared" si="7"/>
        <v>0</v>
      </c>
      <c r="O495" s="1">
        <v>0</v>
      </c>
      <c r="P495" s="1"/>
      <c r="Q495" s="1">
        <v>49.6</v>
      </c>
    </row>
    <row r="496" spans="1:17">
      <c r="A496" s="1" t="s">
        <v>538</v>
      </c>
      <c r="B496" s="4">
        <v>45666</v>
      </c>
      <c r="C496" s="1" t="s">
        <v>1</v>
      </c>
      <c r="D496" s="1" t="s">
        <v>45</v>
      </c>
      <c r="E496" s="1" t="s">
        <v>37</v>
      </c>
      <c r="F496" s="1" t="s">
        <v>52</v>
      </c>
      <c r="G496" s="1" t="s">
        <v>34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f t="shared" si="7"/>
        <v>0</v>
      </c>
      <c r="O496" s="1">
        <v>0</v>
      </c>
      <c r="P496" s="1"/>
      <c r="Q496" s="1">
        <v>70.5</v>
      </c>
    </row>
    <row r="497" spans="1:17">
      <c r="A497" s="1" t="s">
        <v>539</v>
      </c>
      <c r="B497" s="4">
        <v>45782</v>
      </c>
      <c r="C497" s="1" t="s">
        <v>1</v>
      </c>
      <c r="D497" s="1" t="s">
        <v>45</v>
      </c>
      <c r="E497" s="1" t="s">
        <v>37</v>
      </c>
      <c r="F497" s="1" t="s">
        <v>33</v>
      </c>
      <c r="G497" s="1" t="s">
        <v>34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1</v>
      </c>
      <c r="N497" s="1">
        <f t="shared" si="7"/>
        <v>1</v>
      </c>
      <c r="O497" s="1">
        <v>0</v>
      </c>
      <c r="P497" s="1"/>
      <c r="Q497" s="1">
        <v>60.8</v>
      </c>
    </row>
    <row r="498" spans="1:17">
      <c r="A498" s="1" t="s">
        <v>540</v>
      </c>
      <c r="B498" s="4">
        <v>45763</v>
      </c>
      <c r="C498" s="1" t="s">
        <v>1</v>
      </c>
      <c r="D498" s="1" t="s">
        <v>41</v>
      </c>
      <c r="E498" s="1" t="s">
        <v>37</v>
      </c>
      <c r="F498" s="1" t="s">
        <v>33</v>
      </c>
      <c r="G498" s="1" t="s">
        <v>34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1</v>
      </c>
      <c r="N498" s="1">
        <f t="shared" si="7"/>
        <v>1</v>
      </c>
      <c r="O498" s="1">
        <v>0</v>
      </c>
      <c r="P498" s="1"/>
      <c r="Q498" s="1">
        <v>50.5</v>
      </c>
    </row>
    <row r="499" spans="1:17">
      <c r="A499" s="1" t="s">
        <v>541</v>
      </c>
      <c r="B499" s="4">
        <v>45718</v>
      </c>
      <c r="C499" s="1" t="s">
        <v>1</v>
      </c>
      <c r="D499" s="1" t="s">
        <v>45</v>
      </c>
      <c r="E499" s="1" t="s">
        <v>32</v>
      </c>
      <c r="F499" s="1" t="s">
        <v>38</v>
      </c>
      <c r="G499" s="1" t="s">
        <v>39</v>
      </c>
      <c r="H499" s="1">
        <v>1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f t="shared" si="7"/>
        <v>0</v>
      </c>
      <c r="O499" s="1">
        <v>0</v>
      </c>
      <c r="P499" s="1"/>
      <c r="Q499" s="1">
        <v>54.9</v>
      </c>
    </row>
    <row r="500" spans="1:17">
      <c r="A500" s="1" t="s">
        <v>542</v>
      </c>
      <c r="B500" s="4">
        <v>45761</v>
      </c>
      <c r="C500" s="1" t="s">
        <v>1</v>
      </c>
      <c r="D500" s="1" t="s">
        <v>45</v>
      </c>
      <c r="E500" s="1" t="s">
        <v>37</v>
      </c>
      <c r="F500" s="1" t="s">
        <v>54</v>
      </c>
      <c r="G500" s="1" t="s">
        <v>43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f t="shared" si="7"/>
        <v>0</v>
      </c>
      <c r="O500" s="1">
        <v>0</v>
      </c>
      <c r="P500" s="1"/>
      <c r="Q500" s="1">
        <v>29.9</v>
      </c>
    </row>
    <row r="501" spans="1:17">
      <c r="A501" s="1" t="s">
        <v>543</v>
      </c>
      <c r="B501" s="4">
        <v>45703</v>
      </c>
      <c r="C501" s="1" t="s">
        <v>1</v>
      </c>
      <c r="D501" s="1" t="s">
        <v>41</v>
      </c>
      <c r="E501" s="1" t="s">
        <v>32</v>
      </c>
      <c r="F501" s="1" t="s">
        <v>42</v>
      </c>
      <c r="G501" s="1" t="s">
        <v>34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f t="shared" si="7"/>
        <v>0</v>
      </c>
      <c r="O501" s="1">
        <v>0</v>
      </c>
      <c r="P501" s="1"/>
      <c r="Q501" s="1">
        <v>48.3</v>
      </c>
    </row>
    <row r="502" spans="1:17">
      <c r="A502" s="1" t="s">
        <v>544</v>
      </c>
      <c r="B502" s="4">
        <v>45701</v>
      </c>
      <c r="C502" s="1" t="s">
        <v>1</v>
      </c>
      <c r="D502" s="1" t="s">
        <v>36</v>
      </c>
      <c r="E502" s="1" t="s">
        <v>37</v>
      </c>
      <c r="F502" s="1" t="s">
        <v>54</v>
      </c>
      <c r="G502" s="1" t="s">
        <v>39</v>
      </c>
      <c r="H502" s="1">
        <v>1</v>
      </c>
      <c r="I502" s="1">
        <v>1</v>
      </c>
      <c r="J502" s="1">
        <v>1</v>
      </c>
      <c r="K502" s="1">
        <v>1</v>
      </c>
      <c r="L502" s="1">
        <v>513.61</v>
      </c>
      <c r="M502" s="1">
        <v>0</v>
      </c>
      <c r="N502" s="1">
        <f t="shared" si="7"/>
        <v>0</v>
      </c>
      <c r="O502" s="1">
        <v>0</v>
      </c>
      <c r="P502" s="1">
        <v>7</v>
      </c>
      <c r="Q502" s="1">
        <v>41.3</v>
      </c>
    </row>
    <row r="503" spans="1:17">
      <c r="A503" s="1" t="s">
        <v>545</v>
      </c>
      <c r="B503" s="4">
        <v>45722</v>
      </c>
      <c r="C503" s="1" t="s">
        <v>1</v>
      </c>
      <c r="D503" s="1" t="s">
        <v>31</v>
      </c>
      <c r="E503" s="1" t="s">
        <v>37</v>
      </c>
      <c r="F503" s="1" t="s">
        <v>33</v>
      </c>
      <c r="G503" s="1" t="s">
        <v>39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f t="shared" si="7"/>
        <v>0</v>
      </c>
      <c r="O503" s="1">
        <v>0</v>
      </c>
      <c r="P503" s="1"/>
      <c r="Q503" s="1">
        <v>61.4</v>
      </c>
    </row>
    <row r="504" spans="1:17">
      <c r="A504" s="1" t="s">
        <v>546</v>
      </c>
      <c r="B504" s="4">
        <v>45706</v>
      </c>
      <c r="C504" s="1" t="s">
        <v>1</v>
      </c>
      <c r="D504" s="1" t="s">
        <v>45</v>
      </c>
      <c r="E504" s="1" t="s">
        <v>32</v>
      </c>
      <c r="F504" s="1" t="s">
        <v>54</v>
      </c>
      <c r="G504" s="1" t="s">
        <v>39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f t="shared" si="7"/>
        <v>0</v>
      </c>
      <c r="O504" s="1">
        <v>0</v>
      </c>
      <c r="P504" s="1"/>
      <c r="Q504" s="1">
        <v>57.8</v>
      </c>
    </row>
    <row r="505" spans="1:17">
      <c r="A505" s="1" t="s">
        <v>547</v>
      </c>
      <c r="B505" s="4">
        <v>45754</v>
      </c>
      <c r="C505" s="1" t="s">
        <v>1</v>
      </c>
      <c r="D505" s="1" t="s">
        <v>31</v>
      </c>
      <c r="E505" s="1" t="s">
        <v>32</v>
      </c>
      <c r="F505" s="1" t="s">
        <v>38</v>
      </c>
      <c r="G505" s="1" t="s">
        <v>39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f t="shared" si="7"/>
        <v>0</v>
      </c>
      <c r="O505" s="1">
        <v>0</v>
      </c>
      <c r="P505" s="1"/>
      <c r="Q505" s="1">
        <v>78.2</v>
      </c>
    </row>
    <row r="506" spans="1:17">
      <c r="A506" s="1" t="s">
        <v>548</v>
      </c>
      <c r="B506" s="4">
        <v>45753</v>
      </c>
      <c r="C506" s="1" t="s">
        <v>1</v>
      </c>
      <c r="D506" s="1" t="s">
        <v>31</v>
      </c>
      <c r="E506" s="1" t="s">
        <v>37</v>
      </c>
      <c r="F506" s="1" t="s">
        <v>52</v>
      </c>
      <c r="G506" s="1" t="s">
        <v>39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f t="shared" si="7"/>
        <v>0</v>
      </c>
      <c r="O506" s="1">
        <v>0</v>
      </c>
      <c r="P506" s="1"/>
      <c r="Q506" s="1">
        <v>63.8</v>
      </c>
    </row>
    <row r="507" spans="1:17">
      <c r="A507" s="1" t="s">
        <v>549</v>
      </c>
      <c r="B507" s="4">
        <v>45687</v>
      </c>
      <c r="C507" s="1" t="s">
        <v>1</v>
      </c>
      <c r="D507" s="1" t="s">
        <v>31</v>
      </c>
      <c r="E507" s="1" t="s">
        <v>32</v>
      </c>
      <c r="F507" s="1" t="s">
        <v>54</v>
      </c>
      <c r="G507" s="1" t="s">
        <v>39</v>
      </c>
      <c r="H507" s="1">
        <v>1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f t="shared" si="7"/>
        <v>0</v>
      </c>
      <c r="O507" s="1">
        <v>0</v>
      </c>
      <c r="P507" s="1"/>
      <c r="Q507" s="1">
        <v>56.8</v>
      </c>
    </row>
    <row r="508" spans="1:17">
      <c r="A508" s="1" t="s">
        <v>550</v>
      </c>
      <c r="B508" s="4">
        <v>45790</v>
      </c>
      <c r="C508" s="1" t="s">
        <v>1</v>
      </c>
      <c r="D508" s="1" t="s">
        <v>45</v>
      </c>
      <c r="E508" s="1" t="s">
        <v>32</v>
      </c>
      <c r="F508" s="1" t="s">
        <v>38</v>
      </c>
      <c r="G508" s="1" t="s">
        <v>34</v>
      </c>
      <c r="H508" s="1">
        <v>1</v>
      </c>
      <c r="I508" s="1">
        <v>1</v>
      </c>
      <c r="J508" s="1">
        <v>0</v>
      </c>
      <c r="K508" s="1">
        <v>0</v>
      </c>
      <c r="L508" s="1">
        <v>0</v>
      </c>
      <c r="M508" s="1">
        <v>0</v>
      </c>
      <c r="N508" s="1">
        <f t="shared" si="7"/>
        <v>0</v>
      </c>
      <c r="O508" s="1">
        <v>0</v>
      </c>
      <c r="P508" s="1"/>
      <c r="Q508" s="1">
        <v>59.6</v>
      </c>
    </row>
    <row r="509" spans="1:17">
      <c r="A509" s="1" t="s">
        <v>551</v>
      </c>
      <c r="B509" s="4">
        <v>45677</v>
      </c>
      <c r="C509" s="1" t="s">
        <v>1</v>
      </c>
      <c r="D509" s="1" t="s">
        <v>36</v>
      </c>
      <c r="E509" s="1" t="s">
        <v>37</v>
      </c>
      <c r="F509" s="1" t="s">
        <v>42</v>
      </c>
      <c r="G509" s="1" t="s">
        <v>43</v>
      </c>
      <c r="H509" s="1">
        <v>1</v>
      </c>
      <c r="I509" s="1">
        <v>1</v>
      </c>
      <c r="J509" s="1">
        <v>0</v>
      </c>
      <c r="K509" s="1">
        <v>0</v>
      </c>
      <c r="L509" s="1">
        <v>0</v>
      </c>
      <c r="M509" s="1">
        <v>0</v>
      </c>
      <c r="N509" s="1">
        <f t="shared" si="7"/>
        <v>0</v>
      </c>
      <c r="O509" s="1">
        <v>0</v>
      </c>
      <c r="P509" s="1"/>
      <c r="Q509" s="1">
        <v>50</v>
      </c>
    </row>
    <row r="510" spans="1:17">
      <c r="A510" s="1" t="s">
        <v>552</v>
      </c>
      <c r="B510" s="4">
        <v>45687</v>
      </c>
      <c r="C510" s="1" t="s">
        <v>1</v>
      </c>
      <c r="D510" s="1" t="s">
        <v>31</v>
      </c>
      <c r="E510" s="1" t="s">
        <v>47</v>
      </c>
      <c r="F510" s="1" t="s">
        <v>38</v>
      </c>
      <c r="G510" s="1" t="s">
        <v>39</v>
      </c>
      <c r="H510" s="1">
        <v>1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f t="shared" si="7"/>
        <v>0</v>
      </c>
      <c r="O510" s="1">
        <v>0</v>
      </c>
      <c r="P510" s="1"/>
      <c r="Q510" s="1">
        <v>35.700000000000003</v>
      </c>
    </row>
    <row r="511" spans="1:17">
      <c r="A511" s="1" t="s">
        <v>553</v>
      </c>
      <c r="B511" s="4">
        <v>45670</v>
      </c>
      <c r="C511" s="1" t="s">
        <v>1</v>
      </c>
      <c r="D511" s="1" t="s">
        <v>45</v>
      </c>
      <c r="E511" s="1" t="s">
        <v>37</v>
      </c>
      <c r="F511" s="1" t="s">
        <v>38</v>
      </c>
      <c r="G511" s="1" t="s">
        <v>39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2</v>
      </c>
      <c r="N511" s="1">
        <f t="shared" si="7"/>
        <v>1</v>
      </c>
      <c r="O511" s="1">
        <v>0</v>
      </c>
      <c r="P511" s="1"/>
      <c r="Q511" s="1">
        <v>47.2</v>
      </c>
    </row>
    <row r="512" spans="1:17">
      <c r="A512" s="1" t="s">
        <v>554</v>
      </c>
      <c r="B512" s="4">
        <v>45699</v>
      </c>
      <c r="C512" s="1" t="s">
        <v>1</v>
      </c>
      <c r="D512" s="1" t="s">
        <v>31</v>
      </c>
      <c r="E512" s="1" t="s">
        <v>37</v>
      </c>
      <c r="F512" s="1" t="s">
        <v>54</v>
      </c>
      <c r="G512" s="1" t="s">
        <v>39</v>
      </c>
      <c r="H512" s="1">
        <v>1</v>
      </c>
      <c r="I512" s="1">
        <v>1</v>
      </c>
      <c r="J512" s="1">
        <v>0</v>
      </c>
      <c r="K512" s="1">
        <v>0</v>
      </c>
      <c r="L512" s="1">
        <v>0</v>
      </c>
      <c r="M512" s="1">
        <v>0</v>
      </c>
      <c r="N512" s="1">
        <f t="shared" si="7"/>
        <v>0</v>
      </c>
      <c r="O512" s="1">
        <v>0</v>
      </c>
      <c r="P512" s="1"/>
      <c r="Q512" s="1">
        <v>56.9</v>
      </c>
    </row>
    <row r="513" spans="1:17">
      <c r="A513" s="1" t="s">
        <v>555</v>
      </c>
      <c r="B513" s="4">
        <v>45762</v>
      </c>
      <c r="C513" s="1" t="s">
        <v>1</v>
      </c>
      <c r="D513" s="1" t="s">
        <v>45</v>
      </c>
      <c r="E513" s="1" t="s">
        <v>37</v>
      </c>
      <c r="F513" s="1" t="s">
        <v>38</v>
      </c>
      <c r="G513" s="1" t="s">
        <v>39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1</v>
      </c>
      <c r="N513" s="1">
        <f t="shared" si="7"/>
        <v>1</v>
      </c>
      <c r="O513" s="1">
        <v>0</v>
      </c>
      <c r="P513" s="1"/>
      <c r="Q513" s="1">
        <v>57.2</v>
      </c>
    </row>
    <row r="514" spans="1:17">
      <c r="A514" s="1" t="s">
        <v>556</v>
      </c>
      <c r="B514" s="4">
        <v>45701</v>
      </c>
      <c r="C514" s="1" t="s">
        <v>1</v>
      </c>
      <c r="D514" s="1" t="s">
        <v>45</v>
      </c>
      <c r="E514" s="1" t="s">
        <v>37</v>
      </c>
      <c r="F514" s="1"/>
      <c r="G514" s="1" t="s">
        <v>39</v>
      </c>
      <c r="H514" s="1">
        <v>1</v>
      </c>
      <c r="I514" s="1">
        <v>1</v>
      </c>
      <c r="J514" s="1">
        <v>0</v>
      </c>
      <c r="K514" s="1">
        <v>0</v>
      </c>
      <c r="L514" s="1">
        <v>0</v>
      </c>
      <c r="M514" s="1">
        <v>0</v>
      </c>
      <c r="N514" s="1">
        <f t="shared" si="7"/>
        <v>0</v>
      </c>
      <c r="O514" s="1">
        <v>0</v>
      </c>
      <c r="P514" s="1"/>
      <c r="Q514" s="1">
        <v>31.4</v>
      </c>
    </row>
    <row r="515" spans="1:17">
      <c r="A515" s="1" t="s">
        <v>557</v>
      </c>
      <c r="B515" s="4">
        <v>45786</v>
      </c>
      <c r="C515" s="1" t="s">
        <v>1</v>
      </c>
      <c r="D515" s="1" t="s">
        <v>45</v>
      </c>
      <c r="E515" s="1" t="s">
        <v>32</v>
      </c>
      <c r="F515" s="1" t="s">
        <v>38</v>
      </c>
      <c r="G515" s="1" t="s">
        <v>39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f t="shared" ref="N515:N578" si="8">IF(M515&gt;0,1,0)</f>
        <v>0</v>
      </c>
      <c r="O515" s="1">
        <v>0</v>
      </c>
      <c r="P515" s="1"/>
      <c r="Q515" s="1">
        <v>71.2</v>
      </c>
    </row>
    <row r="516" spans="1:17">
      <c r="A516" s="1" t="s">
        <v>558</v>
      </c>
      <c r="B516" s="4">
        <v>45726</v>
      </c>
      <c r="C516" s="1" t="s">
        <v>1</v>
      </c>
      <c r="D516" s="1" t="s">
        <v>31</v>
      </c>
      <c r="E516" s="1" t="s">
        <v>37</v>
      </c>
      <c r="F516" s="1" t="s">
        <v>42</v>
      </c>
      <c r="G516" s="1" t="s">
        <v>39</v>
      </c>
      <c r="H516" s="1">
        <v>1</v>
      </c>
      <c r="I516" s="1">
        <v>1</v>
      </c>
      <c r="J516" s="1">
        <v>1</v>
      </c>
      <c r="K516" s="1">
        <v>0</v>
      </c>
      <c r="L516" s="1">
        <v>0</v>
      </c>
      <c r="M516" s="1">
        <v>1</v>
      </c>
      <c r="N516" s="1">
        <f t="shared" si="8"/>
        <v>1</v>
      </c>
      <c r="O516" s="1">
        <v>0</v>
      </c>
      <c r="P516" s="1"/>
      <c r="Q516" s="1">
        <v>38.299999999999997</v>
      </c>
    </row>
    <row r="517" spans="1:17">
      <c r="A517" s="1" t="s">
        <v>559</v>
      </c>
      <c r="B517" s="4">
        <v>45748</v>
      </c>
      <c r="C517" s="1" t="s">
        <v>1</v>
      </c>
      <c r="D517" s="1" t="s">
        <v>31</v>
      </c>
      <c r="E517" s="1" t="s">
        <v>37</v>
      </c>
      <c r="F517" s="1" t="s">
        <v>38</v>
      </c>
      <c r="G517" s="1" t="s">
        <v>39</v>
      </c>
      <c r="H517" s="1">
        <v>1</v>
      </c>
      <c r="I517" s="1">
        <v>1</v>
      </c>
      <c r="J517" s="1">
        <v>0</v>
      </c>
      <c r="K517" s="1">
        <v>0</v>
      </c>
      <c r="L517" s="1">
        <v>0</v>
      </c>
      <c r="M517" s="1">
        <v>0</v>
      </c>
      <c r="N517" s="1">
        <f t="shared" si="8"/>
        <v>0</v>
      </c>
      <c r="O517" s="1">
        <v>0</v>
      </c>
      <c r="P517" s="1"/>
      <c r="Q517" s="1">
        <v>63.1</v>
      </c>
    </row>
    <row r="518" spans="1:17">
      <c r="A518" s="1" t="s">
        <v>560</v>
      </c>
      <c r="B518" s="4">
        <v>45792</v>
      </c>
      <c r="C518" s="1" t="s">
        <v>1</v>
      </c>
      <c r="D518" s="1" t="s">
        <v>41</v>
      </c>
      <c r="E518" s="1" t="s">
        <v>37</v>
      </c>
      <c r="F518" s="1" t="s">
        <v>52</v>
      </c>
      <c r="G518" s="1" t="s">
        <v>34</v>
      </c>
      <c r="H518" s="1">
        <v>1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f t="shared" si="8"/>
        <v>0</v>
      </c>
      <c r="O518" s="1">
        <v>0</v>
      </c>
      <c r="P518" s="1"/>
      <c r="Q518" s="1">
        <v>59.7</v>
      </c>
    </row>
    <row r="519" spans="1:17">
      <c r="A519" s="1" t="s">
        <v>561</v>
      </c>
      <c r="B519" s="4">
        <v>45781</v>
      </c>
      <c r="C519" s="1" t="s">
        <v>1</v>
      </c>
      <c r="D519" s="1" t="s">
        <v>45</v>
      </c>
      <c r="E519" s="1" t="s">
        <v>32</v>
      </c>
      <c r="F519" s="1" t="s">
        <v>54</v>
      </c>
      <c r="G519" s="1" t="s">
        <v>43</v>
      </c>
      <c r="H519" s="1">
        <v>1</v>
      </c>
      <c r="I519" s="1">
        <v>1</v>
      </c>
      <c r="J519" s="1">
        <v>1</v>
      </c>
      <c r="K519" s="1">
        <v>0</v>
      </c>
      <c r="L519" s="1">
        <v>0</v>
      </c>
      <c r="M519" s="1">
        <v>0</v>
      </c>
      <c r="N519" s="1">
        <f t="shared" si="8"/>
        <v>0</v>
      </c>
      <c r="O519" s="1">
        <v>0</v>
      </c>
      <c r="P519" s="1"/>
      <c r="Q519" s="1">
        <v>59.5</v>
      </c>
    </row>
    <row r="520" spans="1:17">
      <c r="A520" s="1" t="s">
        <v>562</v>
      </c>
      <c r="B520" s="4">
        <v>45797</v>
      </c>
      <c r="C520" s="1" t="s">
        <v>1</v>
      </c>
      <c r="D520" s="1" t="s">
        <v>41</v>
      </c>
      <c r="E520" s="1" t="s">
        <v>37</v>
      </c>
      <c r="F520" s="1" t="s">
        <v>42</v>
      </c>
      <c r="G520" s="1" t="s">
        <v>39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f t="shared" si="8"/>
        <v>0</v>
      </c>
      <c r="O520" s="1">
        <v>0</v>
      </c>
      <c r="P520" s="1"/>
      <c r="Q520" s="1">
        <v>78.8</v>
      </c>
    </row>
    <row r="521" spans="1:17">
      <c r="A521" s="1" t="s">
        <v>563</v>
      </c>
      <c r="B521" s="4">
        <v>45793</v>
      </c>
      <c r="C521" s="1" t="s">
        <v>1</v>
      </c>
      <c r="D521" s="1" t="s">
        <v>36</v>
      </c>
      <c r="E521" s="1" t="s">
        <v>32</v>
      </c>
      <c r="F521" s="1" t="s">
        <v>52</v>
      </c>
      <c r="G521" s="1" t="s">
        <v>39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f t="shared" si="8"/>
        <v>0</v>
      </c>
      <c r="O521" s="1">
        <v>0</v>
      </c>
      <c r="P521" s="1"/>
      <c r="Q521" s="1">
        <v>54</v>
      </c>
    </row>
    <row r="522" spans="1:17">
      <c r="A522" s="1" t="s">
        <v>564</v>
      </c>
      <c r="B522" s="4">
        <v>45733</v>
      </c>
      <c r="C522" s="1" t="s">
        <v>1</v>
      </c>
      <c r="D522" s="1" t="s">
        <v>36</v>
      </c>
      <c r="E522" s="1" t="s">
        <v>37</v>
      </c>
      <c r="F522" s="1" t="s">
        <v>38</v>
      </c>
      <c r="G522" s="1" t="s">
        <v>39</v>
      </c>
      <c r="H522" s="1">
        <v>1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f t="shared" si="8"/>
        <v>0</v>
      </c>
      <c r="O522" s="1">
        <v>0</v>
      </c>
      <c r="P522" s="1"/>
      <c r="Q522" s="1">
        <v>66.3</v>
      </c>
    </row>
    <row r="523" spans="1:17">
      <c r="A523" s="1" t="s">
        <v>565</v>
      </c>
      <c r="B523" s="4">
        <v>45684</v>
      </c>
      <c r="C523" s="1" t="s">
        <v>1</v>
      </c>
      <c r="D523" s="1" t="s">
        <v>41</v>
      </c>
      <c r="E523" s="1" t="s">
        <v>47</v>
      </c>
      <c r="F523" s="1" t="s">
        <v>42</v>
      </c>
      <c r="G523" s="1" t="s">
        <v>39</v>
      </c>
      <c r="H523" s="1">
        <v>1</v>
      </c>
      <c r="I523" s="1">
        <v>1</v>
      </c>
      <c r="J523" s="1">
        <v>0</v>
      </c>
      <c r="K523" s="1">
        <v>0</v>
      </c>
      <c r="L523" s="1">
        <v>0</v>
      </c>
      <c r="M523" s="1">
        <v>0</v>
      </c>
      <c r="N523" s="1">
        <f t="shared" si="8"/>
        <v>0</v>
      </c>
      <c r="O523" s="1">
        <v>0</v>
      </c>
      <c r="P523" s="1"/>
      <c r="Q523" s="1">
        <v>54.7</v>
      </c>
    </row>
    <row r="524" spans="1:17">
      <c r="A524" s="1" t="s">
        <v>566</v>
      </c>
      <c r="B524" s="4">
        <v>45760</v>
      </c>
      <c r="C524" s="1" t="s">
        <v>1</v>
      </c>
      <c r="D524" s="1" t="s">
        <v>45</v>
      </c>
      <c r="E524" s="1" t="s">
        <v>37</v>
      </c>
      <c r="F524" s="1" t="s">
        <v>38</v>
      </c>
      <c r="G524" s="1" t="s">
        <v>34</v>
      </c>
      <c r="H524" s="1">
        <v>1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f t="shared" si="8"/>
        <v>0</v>
      </c>
      <c r="O524" s="1">
        <v>0</v>
      </c>
      <c r="P524" s="1"/>
      <c r="Q524" s="1">
        <v>76.7</v>
      </c>
    </row>
    <row r="525" spans="1:17">
      <c r="A525" s="1" t="s">
        <v>567</v>
      </c>
      <c r="B525" s="4">
        <v>45780</v>
      </c>
      <c r="C525" s="1" t="s">
        <v>1</v>
      </c>
      <c r="D525" s="1" t="s">
        <v>45</v>
      </c>
      <c r="E525" s="1" t="s">
        <v>32</v>
      </c>
      <c r="F525" s="1" t="s">
        <v>33</v>
      </c>
      <c r="G525" s="1" t="s">
        <v>34</v>
      </c>
      <c r="H525" s="1">
        <v>1</v>
      </c>
      <c r="I525" s="1">
        <v>0</v>
      </c>
      <c r="J525" s="1">
        <v>0</v>
      </c>
      <c r="K525" s="1">
        <v>0</v>
      </c>
      <c r="L525" s="1">
        <v>0</v>
      </c>
      <c r="M525" s="1">
        <v>2</v>
      </c>
      <c r="N525" s="1">
        <f t="shared" si="8"/>
        <v>1</v>
      </c>
      <c r="O525" s="1">
        <v>0</v>
      </c>
      <c r="P525" s="1"/>
      <c r="Q525" s="1">
        <v>47.4</v>
      </c>
    </row>
    <row r="526" spans="1:17">
      <c r="A526" s="1" t="s">
        <v>568</v>
      </c>
      <c r="B526" s="4">
        <v>45746</v>
      </c>
      <c r="C526" s="1" t="s">
        <v>1</v>
      </c>
      <c r="D526" s="1" t="s">
        <v>31</v>
      </c>
      <c r="E526" s="1" t="s">
        <v>37</v>
      </c>
      <c r="F526" s="1" t="s">
        <v>38</v>
      </c>
      <c r="G526" s="1" t="s">
        <v>39</v>
      </c>
      <c r="H526" s="1">
        <v>1</v>
      </c>
      <c r="I526" s="1">
        <v>1</v>
      </c>
      <c r="J526" s="1">
        <v>1</v>
      </c>
      <c r="K526" s="1">
        <v>0</v>
      </c>
      <c r="L526" s="1">
        <v>0</v>
      </c>
      <c r="M526" s="1">
        <v>0</v>
      </c>
      <c r="N526" s="1">
        <f t="shared" si="8"/>
        <v>0</v>
      </c>
      <c r="O526" s="1">
        <v>0</v>
      </c>
      <c r="P526" s="1"/>
      <c r="Q526" s="1">
        <v>81.7</v>
      </c>
    </row>
    <row r="527" spans="1:17">
      <c r="A527" s="1" t="s">
        <v>569</v>
      </c>
      <c r="B527" s="4">
        <v>45658</v>
      </c>
      <c r="C527" s="1" t="s">
        <v>1</v>
      </c>
      <c r="D527" s="1" t="s">
        <v>36</v>
      </c>
      <c r="E527" s="1" t="s">
        <v>37</v>
      </c>
      <c r="F527" s="1" t="s">
        <v>42</v>
      </c>
      <c r="G527" s="1" t="s">
        <v>34</v>
      </c>
      <c r="H527" s="1">
        <v>1</v>
      </c>
      <c r="I527" s="1">
        <v>1</v>
      </c>
      <c r="J527" s="1">
        <v>1</v>
      </c>
      <c r="K527" s="1">
        <v>0</v>
      </c>
      <c r="L527" s="1">
        <v>0</v>
      </c>
      <c r="M527" s="1">
        <v>0</v>
      </c>
      <c r="N527" s="1">
        <f t="shared" si="8"/>
        <v>0</v>
      </c>
      <c r="O527" s="1">
        <v>0</v>
      </c>
      <c r="P527" s="1"/>
      <c r="Q527" s="1">
        <v>67.5</v>
      </c>
    </row>
    <row r="528" spans="1:17">
      <c r="A528" s="1" t="s">
        <v>570</v>
      </c>
      <c r="B528" s="4">
        <v>45694</v>
      </c>
      <c r="C528" s="1" t="s">
        <v>1</v>
      </c>
      <c r="D528" s="1" t="s">
        <v>36</v>
      </c>
      <c r="E528" s="1" t="s">
        <v>37</v>
      </c>
      <c r="F528" s="1" t="s">
        <v>42</v>
      </c>
      <c r="G528" s="1" t="s">
        <v>34</v>
      </c>
      <c r="H528" s="1">
        <v>1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f t="shared" si="8"/>
        <v>0</v>
      </c>
      <c r="O528" s="1">
        <v>0</v>
      </c>
      <c r="P528" s="1"/>
      <c r="Q528" s="1">
        <v>36.799999999999997</v>
      </c>
    </row>
    <row r="529" spans="1:17">
      <c r="A529" s="1" t="s">
        <v>571</v>
      </c>
      <c r="B529" s="4">
        <v>45713</v>
      </c>
      <c r="C529" s="1" t="s">
        <v>1</v>
      </c>
      <c r="D529" s="1" t="s">
        <v>31</v>
      </c>
      <c r="E529" s="1" t="s">
        <v>32</v>
      </c>
      <c r="F529" s="1" t="s">
        <v>38</v>
      </c>
      <c r="G529" s="1" t="s">
        <v>39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f t="shared" si="8"/>
        <v>0</v>
      </c>
      <c r="O529" s="1">
        <v>0</v>
      </c>
      <c r="P529" s="1"/>
      <c r="Q529" s="1">
        <v>66.5</v>
      </c>
    </row>
    <row r="530" spans="1:17">
      <c r="A530" s="1" t="s">
        <v>572</v>
      </c>
      <c r="B530" s="4">
        <v>45791</v>
      </c>
      <c r="C530" s="1" t="s">
        <v>1</v>
      </c>
      <c r="D530" s="1" t="s">
        <v>41</v>
      </c>
      <c r="E530" s="1" t="s">
        <v>47</v>
      </c>
      <c r="F530" s="1" t="s">
        <v>54</v>
      </c>
      <c r="G530" s="1" t="s">
        <v>39</v>
      </c>
      <c r="H530" s="1">
        <v>1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f t="shared" si="8"/>
        <v>0</v>
      </c>
      <c r="O530" s="1">
        <v>0</v>
      </c>
      <c r="P530" s="1"/>
      <c r="Q530" s="1">
        <v>35.4</v>
      </c>
    </row>
    <row r="531" spans="1:17">
      <c r="A531" s="1" t="s">
        <v>573</v>
      </c>
      <c r="B531" s="4">
        <v>45797</v>
      </c>
      <c r="C531" s="1" t="s">
        <v>1</v>
      </c>
      <c r="D531" s="1" t="s">
        <v>45</v>
      </c>
      <c r="E531" s="1" t="s">
        <v>37</v>
      </c>
      <c r="F531" s="1" t="s">
        <v>38</v>
      </c>
      <c r="G531" s="1" t="s">
        <v>34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f t="shared" si="8"/>
        <v>0</v>
      </c>
      <c r="O531" s="1">
        <v>0</v>
      </c>
      <c r="P531" s="1"/>
      <c r="Q531" s="1">
        <v>64.3</v>
      </c>
    </row>
    <row r="532" spans="1:17">
      <c r="A532" s="1" t="s">
        <v>574</v>
      </c>
      <c r="B532" s="4">
        <v>45699</v>
      </c>
      <c r="C532" s="1" t="s">
        <v>1</v>
      </c>
      <c r="D532" s="1" t="s">
        <v>45</v>
      </c>
      <c r="E532" s="1" t="s">
        <v>37</v>
      </c>
      <c r="F532" s="1" t="s">
        <v>38</v>
      </c>
      <c r="G532" s="1" t="s">
        <v>39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f t="shared" si="8"/>
        <v>0</v>
      </c>
      <c r="O532" s="1">
        <v>0</v>
      </c>
      <c r="P532" s="1"/>
      <c r="Q532" s="1">
        <v>49.1</v>
      </c>
    </row>
    <row r="533" spans="1:17">
      <c r="A533" s="1" t="s">
        <v>575</v>
      </c>
      <c r="B533" s="4">
        <v>45701</v>
      </c>
      <c r="C533" s="1" t="s">
        <v>1</v>
      </c>
      <c r="D533" s="1" t="s">
        <v>36</v>
      </c>
      <c r="E533" s="1" t="s">
        <v>37</v>
      </c>
      <c r="F533" s="1" t="s">
        <v>38</v>
      </c>
      <c r="G533" s="1" t="s">
        <v>39</v>
      </c>
      <c r="H533" s="1">
        <v>1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f t="shared" si="8"/>
        <v>0</v>
      </c>
      <c r="O533" s="1">
        <v>0</v>
      </c>
      <c r="P533" s="1"/>
      <c r="Q533" s="1">
        <v>84.3</v>
      </c>
    </row>
    <row r="534" spans="1:17">
      <c r="A534" s="1" t="s">
        <v>576</v>
      </c>
      <c r="B534" s="4">
        <v>45754</v>
      </c>
      <c r="C534" s="1" t="s">
        <v>1</v>
      </c>
      <c r="D534" s="1" t="s">
        <v>45</v>
      </c>
      <c r="E534" s="1" t="s">
        <v>37</v>
      </c>
      <c r="F534" s="1" t="s">
        <v>42</v>
      </c>
      <c r="G534" s="1" t="s">
        <v>43</v>
      </c>
      <c r="H534" s="1">
        <v>1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f t="shared" si="8"/>
        <v>0</v>
      </c>
      <c r="O534" s="1">
        <v>0</v>
      </c>
      <c r="P534" s="1"/>
      <c r="Q534" s="1">
        <v>65.599999999999994</v>
      </c>
    </row>
    <row r="535" spans="1:17">
      <c r="A535" s="1" t="s">
        <v>577</v>
      </c>
      <c r="B535" s="4">
        <v>45724</v>
      </c>
      <c r="C535" s="1" t="s">
        <v>1</v>
      </c>
      <c r="D535" s="1" t="s">
        <v>41</v>
      </c>
      <c r="E535" s="1" t="s">
        <v>37</v>
      </c>
      <c r="F535" s="1" t="s">
        <v>33</v>
      </c>
      <c r="G535" s="1" t="s">
        <v>39</v>
      </c>
      <c r="H535" s="1">
        <v>1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f t="shared" si="8"/>
        <v>0</v>
      </c>
      <c r="O535" s="1">
        <v>0</v>
      </c>
      <c r="P535" s="1"/>
      <c r="Q535" s="1">
        <v>47.1</v>
      </c>
    </row>
    <row r="536" spans="1:17">
      <c r="A536" s="1" t="s">
        <v>578</v>
      </c>
      <c r="B536" s="4">
        <v>45704</v>
      </c>
      <c r="C536" s="1" t="s">
        <v>1</v>
      </c>
      <c r="D536" s="1" t="s">
        <v>31</v>
      </c>
      <c r="E536" s="1" t="s">
        <v>32</v>
      </c>
      <c r="F536" s="1" t="s">
        <v>42</v>
      </c>
      <c r="G536" s="1" t="s">
        <v>39</v>
      </c>
      <c r="H536" s="1">
        <v>1</v>
      </c>
      <c r="I536" s="1">
        <v>1</v>
      </c>
      <c r="J536" s="1">
        <v>1</v>
      </c>
      <c r="K536" s="1">
        <v>0</v>
      </c>
      <c r="L536" s="1">
        <v>0</v>
      </c>
      <c r="M536" s="1">
        <v>0</v>
      </c>
      <c r="N536" s="1">
        <f t="shared" si="8"/>
        <v>0</v>
      </c>
      <c r="O536" s="1">
        <v>0</v>
      </c>
      <c r="P536" s="1"/>
      <c r="Q536" s="1">
        <v>70</v>
      </c>
    </row>
    <row r="537" spans="1:17">
      <c r="A537" s="1" t="s">
        <v>579</v>
      </c>
      <c r="B537" s="4">
        <v>45775</v>
      </c>
      <c r="C537" s="1" t="s">
        <v>1</v>
      </c>
      <c r="D537" s="1" t="s">
        <v>45</v>
      </c>
      <c r="E537" s="1" t="s">
        <v>37</v>
      </c>
      <c r="F537" s="1" t="s">
        <v>42</v>
      </c>
      <c r="G537" s="1" t="s">
        <v>43</v>
      </c>
      <c r="H537" s="1">
        <v>1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f t="shared" si="8"/>
        <v>0</v>
      </c>
      <c r="O537" s="1">
        <v>0</v>
      </c>
      <c r="P537" s="1"/>
      <c r="Q537" s="1">
        <v>54.6</v>
      </c>
    </row>
    <row r="538" spans="1:17">
      <c r="A538" s="1" t="s">
        <v>580</v>
      </c>
      <c r="B538" s="4">
        <v>45726</v>
      </c>
      <c r="C538" s="1" t="s">
        <v>1</v>
      </c>
      <c r="D538" s="1" t="s">
        <v>36</v>
      </c>
      <c r="E538" s="1" t="s">
        <v>47</v>
      </c>
      <c r="F538" s="1" t="s">
        <v>54</v>
      </c>
      <c r="G538" s="1" t="s">
        <v>34</v>
      </c>
      <c r="H538" s="1">
        <v>1</v>
      </c>
      <c r="I538" s="1">
        <v>1</v>
      </c>
      <c r="J538" s="1">
        <v>0</v>
      </c>
      <c r="K538" s="1">
        <v>0</v>
      </c>
      <c r="L538" s="1">
        <v>0</v>
      </c>
      <c r="M538" s="1">
        <v>1</v>
      </c>
      <c r="N538" s="1">
        <f t="shared" si="8"/>
        <v>1</v>
      </c>
      <c r="O538" s="1">
        <v>0</v>
      </c>
      <c r="P538" s="1"/>
      <c r="Q538" s="1">
        <v>65.2</v>
      </c>
    </row>
    <row r="539" spans="1:17">
      <c r="A539" s="1" t="s">
        <v>581</v>
      </c>
      <c r="B539" s="4">
        <v>45682</v>
      </c>
      <c r="C539" s="1" t="s">
        <v>1</v>
      </c>
      <c r="D539" s="1" t="s">
        <v>41</v>
      </c>
      <c r="E539" s="1" t="s">
        <v>37</v>
      </c>
      <c r="F539" s="1" t="s">
        <v>54</v>
      </c>
      <c r="G539" s="1" t="s">
        <v>39</v>
      </c>
      <c r="H539" s="1">
        <v>1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f t="shared" si="8"/>
        <v>0</v>
      </c>
      <c r="O539" s="1">
        <v>0</v>
      </c>
      <c r="P539" s="1"/>
      <c r="Q539" s="1">
        <v>65</v>
      </c>
    </row>
    <row r="540" spans="1:17">
      <c r="A540" s="1" t="s">
        <v>582</v>
      </c>
      <c r="B540" s="4">
        <v>45668</v>
      </c>
      <c r="C540" s="1" t="s">
        <v>1</v>
      </c>
      <c r="D540" s="1" t="s">
        <v>36</v>
      </c>
      <c r="E540" s="1" t="s">
        <v>37</v>
      </c>
      <c r="F540" s="1" t="s">
        <v>42</v>
      </c>
      <c r="G540" s="1" t="s">
        <v>43</v>
      </c>
      <c r="H540" s="1">
        <v>1</v>
      </c>
      <c r="I540" s="1">
        <v>1</v>
      </c>
      <c r="J540" s="1">
        <v>1</v>
      </c>
      <c r="K540" s="1">
        <v>0</v>
      </c>
      <c r="L540" s="1">
        <v>0</v>
      </c>
      <c r="M540" s="1">
        <v>1</v>
      </c>
      <c r="N540" s="1">
        <f t="shared" si="8"/>
        <v>1</v>
      </c>
      <c r="O540" s="1">
        <v>0</v>
      </c>
      <c r="P540" s="1"/>
      <c r="Q540" s="1">
        <v>42.1</v>
      </c>
    </row>
    <row r="541" spans="1:17">
      <c r="A541" s="1" t="s">
        <v>583</v>
      </c>
      <c r="B541" s="4">
        <v>45747</v>
      </c>
      <c r="C541" s="1" t="s">
        <v>1</v>
      </c>
      <c r="D541" s="1" t="s">
        <v>36</v>
      </c>
      <c r="E541" s="1" t="s">
        <v>47</v>
      </c>
      <c r="F541" s="1" t="s">
        <v>42</v>
      </c>
      <c r="G541" s="1" t="s">
        <v>39</v>
      </c>
      <c r="H541" s="1">
        <v>1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f t="shared" si="8"/>
        <v>0</v>
      </c>
      <c r="O541" s="1">
        <v>0</v>
      </c>
      <c r="P541" s="1"/>
      <c r="Q541" s="1">
        <v>43.4</v>
      </c>
    </row>
    <row r="542" spans="1:17">
      <c r="A542" s="1" t="s">
        <v>584</v>
      </c>
      <c r="B542" s="4">
        <v>45691</v>
      </c>
      <c r="C542" s="1" t="s">
        <v>1</v>
      </c>
      <c r="D542" s="1" t="s">
        <v>31</v>
      </c>
      <c r="E542" s="1" t="s">
        <v>47</v>
      </c>
      <c r="F542" s="1" t="s">
        <v>33</v>
      </c>
      <c r="G542" s="1" t="s">
        <v>34</v>
      </c>
      <c r="H542" s="1">
        <v>1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f t="shared" si="8"/>
        <v>0</v>
      </c>
      <c r="O542" s="1">
        <v>0</v>
      </c>
      <c r="P542" s="1"/>
      <c r="Q542" s="1">
        <v>60.9</v>
      </c>
    </row>
    <row r="543" spans="1:17">
      <c r="A543" s="1" t="s">
        <v>585</v>
      </c>
      <c r="B543" s="4">
        <v>45793</v>
      </c>
      <c r="C543" s="1" t="s">
        <v>1</v>
      </c>
      <c r="D543" s="1" t="s">
        <v>31</v>
      </c>
      <c r="E543" s="1" t="s">
        <v>37</v>
      </c>
      <c r="F543" s="1" t="s">
        <v>52</v>
      </c>
      <c r="G543" s="1" t="s">
        <v>34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f t="shared" si="8"/>
        <v>0</v>
      </c>
      <c r="O543" s="1">
        <v>0</v>
      </c>
      <c r="P543" s="1"/>
      <c r="Q543" s="1">
        <v>74.099999999999994</v>
      </c>
    </row>
    <row r="544" spans="1:17">
      <c r="A544" s="1" t="s">
        <v>586</v>
      </c>
      <c r="B544" s="4">
        <v>45772</v>
      </c>
      <c r="C544" s="1" t="s">
        <v>1</v>
      </c>
      <c r="D544" s="1" t="s">
        <v>41</v>
      </c>
      <c r="E544" s="1" t="s">
        <v>32</v>
      </c>
      <c r="F544" s="1" t="s">
        <v>42</v>
      </c>
      <c r="G544" s="1" t="s">
        <v>39</v>
      </c>
      <c r="H544" s="1">
        <v>1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f t="shared" si="8"/>
        <v>0</v>
      </c>
      <c r="O544" s="1">
        <v>0</v>
      </c>
      <c r="P544" s="1"/>
      <c r="Q544" s="1">
        <v>61.4</v>
      </c>
    </row>
    <row r="545" spans="1:17">
      <c r="A545" s="1" t="s">
        <v>587</v>
      </c>
      <c r="B545" s="4">
        <v>45764</v>
      </c>
      <c r="C545" s="1" t="s">
        <v>1</v>
      </c>
      <c r="D545" s="1" t="s">
        <v>41</v>
      </c>
      <c r="E545" s="1" t="s">
        <v>37</v>
      </c>
      <c r="F545" s="1" t="s">
        <v>54</v>
      </c>
      <c r="G545" s="1" t="s">
        <v>43</v>
      </c>
      <c r="H545" s="1">
        <v>1</v>
      </c>
      <c r="I545" s="1">
        <v>1</v>
      </c>
      <c r="J545" s="1">
        <v>1</v>
      </c>
      <c r="K545" s="1">
        <v>0</v>
      </c>
      <c r="L545" s="1">
        <v>0</v>
      </c>
      <c r="M545" s="1">
        <v>0</v>
      </c>
      <c r="N545" s="1">
        <f t="shared" si="8"/>
        <v>0</v>
      </c>
      <c r="O545" s="1">
        <v>0</v>
      </c>
      <c r="P545" s="1"/>
      <c r="Q545" s="1">
        <v>76.8</v>
      </c>
    </row>
    <row r="546" spans="1:17">
      <c r="A546" s="1" t="s">
        <v>588</v>
      </c>
      <c r="B546" s="4">
        <v>45658</v>
      </c>
      <c r="C546" s="1" t="s">
        <v>1</v>
      </c>
      <c r="D546" s="1" t="s">
        <v>45</v>
      </c>
      <c r="E546" s="1" t="s">
        <v>32</v>
      </c>
      <c r="F546" s="1" t="s">
        <v>54</v>
      </c>
      <c r="G546" s="1" t="s">
        <v>34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f t="shared" si="8"/>
        <v>0</v>
      </c>
      <c r="O546" s="1">
        <v>0</v>
      </c>
      <c r="P546" s="1"/>
      <c r="Q546" s="1"/>
    </row>
    <row r="547" spans="1:17">
      <c r="A547" s="1" t="s">
        <v>589</v>
      </c>
      <c r="B547" s="4">
        <v>45734</v>
      </c>
      <c r="C547" s="1" t="s">
        <v>1</v>
      </c>
      <c r="D547" s="1" t="s">
        <v>41</v>
      </c>
      <c r="E547" s="1" t="s">
        <v>37</v>
      </c>
      <c r="F547" s="1" t="s">
        <v>42</v>
      </c>
      <c r="G547" s="1" t="s">
        <v>34</v>
      </c>
      <c r="H547" s="1">
        <v>1</v>
      </c>
      <c r="I547" s="1">
        <v>1</v>
      </c>
      <c r="J547" s="1">
        <v>1</v>
      </c>
      <c r="K547" s="1">
        <v>0</v>
      </c>
      <c r="L547" s="1">
        <v>0</v>
      </c>
      <c r="M547" s="1">
        <v>0</v>
      </c>
      <c r="N547" s="1">
        <f t="shared" si="8"/>
        <v>0</v>
      </c>
      <c r="O547" s="1">
        <v>0</v>
      </c>
      <c r="P547" s="1"/>
      <c r="Q547" s="1">
        <v>45.3</v>
      </c>
    </row>
    <row r="548" spans="1:17">
      <c r="A548" s="1" t="s">
        <v>590</v>
      </c>
      <c r="B548" s="4">
        <v>45797</v>
      </c>
      <c r="C548" s="1" t="s">
        <v>1</v>
      </c>
      <c r="D548" s="1" t="s">
        <v>31</v>
      </c>
      <c r="E548" s="1" t="s">
        <v>47</v>
      </c>
      <c r="F548" s="1" t="s">
        <v>42</v>
      </c>
      <c r="G548" s="1" t="s">
        <v>39</v>
      </c>
      <c r="H548" s="1">
        <v>1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f t="shared" si="8"/>
        <v>0</v>
      </c>
      <c r="O548" s="1">
        <v>0</v>
      </c>
      <c r="P548" s="1"/>
      <c r="Q548" s="1">
        <v>41.4</v>
      </c>
    </row>
    <row r="549" spans="1:17">
      <c r="A549" s="1" t="s">
        <v>591</v>
      </c>
      <c r="B549" s="4">
        <v>45732</v>
      </c>
      <c r="C549" s="1" t="s">
        <v>1</v>
      </c>
      <c r="D549" s="1" t="s">
        <v>31</v>
      </c>
      <c r="E549" s="1" t="s">
        <v>37</v>
      </c>
      <c r="F549" s="1" t="s">
        <v>38</v>
      </c>
      <c r="G549" s="1" t="s">
        <v>34</v>
      </c>
      <c r="H549" s="1">
        <v>1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f t="shared" si="8"/>
        <v>0</v>
      </c>
      <c r="O549" s="1">
        <v>0</v>
      </c>
      <c r="P549" s="1"/>
      <c r="Q549" s="1">
        <v>37.1</v>
      </c>
    </row>
    <row r="550" spans="1:17">
      <c r="A550" s="1" t="s">
        <v>592</v>
      </c>
      <c r="B550" s="4">
        <v>45807</v>
      </c>
      <c r="C550" s="1" t="s">
        <v>1</v>
      </c>
      <c r="D550" s="1" t="s">
        <v>41</v>
      </c>
      <c r="E550" s="1" t="s">
        <v>32</v>
      </c>
      <c r="F550" s="1" t="s">
        <v>54</v>
      </c>
      <c r="G550" s="1" t="s">
        <v>39</v>
      </c>
      <c r="H550" s="1">
        <v>1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f t="shared" si="8"/>
        <v>0</v>
      </c>
      <c r="O550" s="1">
        <v>0</v>
      </c>
      <c r="P550" s="1"/>
      <c r="Q550" s="1">
        <v>40.700000000000003</v>
      </c>
    </row>
    <row r="551" spans="1:17">
      <c r="A551" s="1" t="s">
        <v>593</v>
      </c>
      <c r="B551" s="4">
        <v>45708</v>
      </c>
      <c r="C551" s="1" t="s">
        <v>1</v>
      </c>
      <c r="D551" s="1" t="s">
        <v>31</v>
      </c>
      <c r="E551" s="1" t="s">
        <v>37</v>
      </c>
      <c r="F551" s="1" t="s">
        <v>54</v>
      </c>
      <c r="G551" s="1" t="s">
        <v>43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2</v>
      </c>
      <c r="N551" s="1">
        <f t="shared" si="8"/>
        <v>1</v>
      </c>
      <c r="O551" s="1">
        <v>0</v>
      </c>
      <c r="P551" s="1"/>
      <c r="Q551" s="1">
        <v>55.9</v>
      </c>
    </row>
    <row r="552" spans="1:17">
      <c r="A552" s="1" t="s">
        <v>594</v>
      </c>
      <c r="B552" s="4">
        <v>45699</v>
      </c>
      <c r="C552" s="1" t="s">
        <v>1</v>
      </c>
      <c r="D552" s="1" t="s">
        <v>41</v>
      </c>
      <c r="E552" s="1"/>
      <c r="F552" s="1" t="s">
        <v>54</v>
      </c>
      <c r="G552" s="1" t="s">
        <v>39</v>
      </c>
      <c r="H552" s="1">
        <v>1</v>
      </c>
      <c r="I552" s="1">
        <v>1</v>
      </c>
      <c r="J552" s="1">
        <v>0</v>
      </c>
      <c r="K552" s="1">
        <v>0</v>
      </c>
      <c r="L552" s="1">
        <v>0</v>
      </c>
      <c r="M552" s="1">
        <v>0</v>
      </c>
      <c r="N552" s="1">
        <f t="shared" si="8"/>
        <v>0</v>
      </c>
      <c r="O552" s="1">
        <v>0</v>
      </c>
      <c r="P552" s="1"/>
      <c r="Q552" s="1">
        <v>55.8</v>
      </c>
    </row>
    <row r="553" spans="1:17">
      <c r="A553" s="1" t="s">
        <v>595</v>
      </c>
      <c r="B553" s="4">
        <v>45659</v>
      </c>
      <c r="C553" s="1" t="s">
        <v>1</v>
      </c>
      <c r="D553" s="1" t="s">
        <v>45</v>
      </c>
      <c r="E553" s="1" t="s">
        <v>47</v>
      </c>
      <c r="F553" s="1" t="s">
        <v>52</v>
      </c>
      <c r="G553" s="1" t="s">
        <v>34</v>
      </c>
      <c r="H553" s="1">
        <v>1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f t="shared" si="8"/>
        <v>0</v>
      </c>
      <c r="O553" s="1">
        <v>0</v>
      </c>
      <c r="P553" s="1"/>
      <c r="Q553" s="1">
        <v>64.3</v>
      </c>
    </row>
    <row r="554" spans="1:17">
      <c r="A554" s="1" t="s">
        <v>596</v>
      </c>
      <c r="B554" s="4">
        <v>45780</v>
      </c>
      <c r="C554" s="1" t="s">
        <v>1</v>
      </c>
      <c r="D554" s="1" t="s">
        <v>31</v>
      </c>
      <c r="E554" s="1" t="s">
        <v>37</v>
      </c>
      <c r="F554" s="1" t="s">
        <v>38</v>
      </c>
      <c r="G554" s="1" t="s">
        <v>39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f t="shared" si="8"/>
        <v>0</v>
      </c>
      <c r="O554" s="1">
        <v>0</v>
      </c>
      <c r="P554" s="1"/>
      <c r="Q554" s="1">
        <v>65.400000000000006</v>
      </c>
    </row>
    <row r="555" spans="1:17">
      <c r="A555" s="1" t="s">
        <v>597</v>
      </c>
      <c r="B555" s="4">
        <v>45712</v>
      </c>
      <c r="C555" s="1" t="s">
        <v>1</v>
      </c>
      <c r="D555" s="1" t="s">
        <v>36</v>
      </c>
      <c r="E555" s="1" t="s">
        <v>37</v>
      </c>
      <c r="F555" s="1" t="s">
        <v>38</v>
      </c>
      <c r="G555" s="1" t="s">
        <v>39</v>
      </c>
      <c r="H555" s="1">
        <v>1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f t="shared" si="8"/>
        <v>0</v>
      </c>
      <c r="O555" s="1">
        <v>0</v>
      </c>
      <c r="P555" s="1"/>
      <c r="Q555" s="1">
        <v>89.8</v>
      </c>
    </row>
    <row r="556" spans="1:17">
      <c r="A556" s="1" t="s">
        <v>598</v>
      </c>
      <c r="B556" s="4">
        <v>45699</v>
      </c>
      <c r="C556" s="1" t="s">
        <v>1</v>
      </c>
      <c r="D556" s="1" t="s">
        <v>45</v>
      </c>
      <c r="E556" s="1"/>
      <c r="F556" s="1" t="s">
        <v>38</v>
      </c>
      <c r="G556" s="1" t="s">
        <v>39</v>
      </c>
      <c r="H556" s="1">
        <v>1</v>
      </c>
      <c r="I556" s="1">
        <v>1</v>
      </c>
      <c r="J556" s="1">
        <v>1</v>
      </c>
      <c r="K556" s="1">
        <v>0</v>
      </c>
      <c r="L556" s="1">
        <v>0</v>
      </c>
      <c r="M556" s="1">
        <v>0</v>
      </c>
      <c r="N556" s="1">
        <f t="shared" si="8"/>
        <v>0</v>
      </c>
      <c r="O556" s="1">
        <v>0</v>
      </c>
      <c r="P556" s="1"/>
      <c r="Q556" s="1">
        <v>58.3</v>
      </c>
    </row>
    <row r="557" spans="1:17">
      <c r="A557" s="1" t="s">
        <v>599</v>
      </c>
      <c r="B557" s="4">
        <v>45783</v>
      </c>
      <c r="C557" s="1" t="s">
        <v>1</v>
      </c>
      <c r="D557" s="1" t="s">
        <v>45</v>
      </c>
      <c r="E557" s="1" t="s">
        <v>37</v>
      </c>
      <c r="F557" s="1" t="s">
        <v>54</v>
      </c>
      <c r="G557" s="1" t="s">
        <v>34</v>
      </c>
      <c r="H557" s="1">
        <v>1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f t="shared" si="8"/>
        <v>0</v>
      </c>
      <c r="O557" s="1">
        <v>0</v>
      </c>
      <c r="P557" s="1"/>
      <c r="Q557" s="1">
        <v>64.400000000000006</v>
      </c>
    </row>
    <row r="558" spans="1:17">
      <c r="A558" s="1" t="s">
        <v>600</v>
      </c>
      <c r="B558" s="4">
        <v>45800</v>
      </c>
      <c r="C558" s="1" t="s">
        <v>1</v>
      </c>
      <c r="D558" s="1" t="s">
        <v>31</v>
      </c>
      <c r="E558" s="1" t="s">
        <v>37</v>
      </c>
      <c r="F558" s="1" t="s">
        <v>42</v>
      </c>
      <c r="G558" s="1" t="s">
        <v>43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f t="shared" si="8"/>
        <v>0</v>
      </c>
      <c r="O558" s="1">
        <v>0</v>
      </c>
      <c r="P558" s="1"/>
      <c r="Q558" s="1">
        <v>46.2</v>
      </c>
    </row>
    <row r="559" spans="1:17">
      <c r="A559" s="1" t="s">
        <v>601</v>
      </c>
      <c r="B559" s="4">
        <v>45666</v>
      </c>
      <c r="C559" s="1" t="s">
        <v>1</v>
      </c>
      <c r="D559" s="1" t="s">
        <v>31</v>
      </c>
      <c r="E559" s="1" t="s">
        <v>32</v>
      </c>
      <c r="F559" s="1" t="s">
        <v>42</v>
      </c>
      <c r="G559" s="1" t="s">
        <v>39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f t="shared" si="8"/>
        <v>0</v>
      </c>
      <c r="O559" s="1">
        <v>0</v>
      </c>
      <c r="P559" s="1"/>
      <c r="Q559" s="1">
        <v>78</v>
      </c>
    </row>
    <row r="560" spans="1:17">
      <c r="A560" s="1" t="s">
        <v>602</v>
      </c>
      <c r="B560" s="4">
        <v>45748</v>
      </c>
      <c r="C560" s="1" t="s">
        <v>1</v>
      </c>
      <c r="D560" s="1" t="s">
        <v>31</v>
      </c>
      <c r="E560" s="1" t="s">
        <v>32</v>
      </c>
      <c r="F560" s="1" t="s">
        <v>38</v>
      </c>
      <c r="G560" s="1" t="s">
        <v>43</v>
      </c>
      <c r="H560" s="1">
        <v>1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f t="shared" si="8"/>
        <v>0</v>
      </c>
      <c r="O560" s="1">
        <v>0</v>
      </c>
      <c r="P560" s="1"/>
      <c r="Q560" s="1">
        <v>62.3</v>
      </c>
    </row>
    <row r="561" spans="1:17">
      <c r="A561" s="1" t="s">
        <v>603</v>
      </c>
      <c r="B561" s="4">
        <v>45724</v>
      </c>
      <c r="C561" s="1" t="s">
        <v>1</v>
      </c>
      <c r="D561" s="1" t="s">
        <v>31</v>
      </c>
      <c r="E561" s="1" t="s">
        <v>37</v>
      </c>
      <c r="F561" s="1" t="s">
        <v>38</v>
      </c>
      <c r="G561" s="1" t="s">
        <v>39</v>
      </c>
      <c r="H561" s="1">
        <v>1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f t="shared" si="8"/>
        <v>0</v>
      </c>
      <c r="O561" s="1">
        <v>0</v>
      </c>
      <c r="P561" s="1"/>
      <c r="Q561" s="1">
        <v>78.8</v>
      </c>
    </row>
    <row r="562" spans="1:17">
      <c r="A562" s="1" t="s">
        <v>604</v>
      </c>
      <c r="B562" s="4">
        <v>45708</v>
      </c>
      <c r="C562" s="1" t="s">
        <v>1</v>
      </c>
      <c r="D562" s="1" t="s">
        <v>31</v>
      </c>
      <c r="E562" s="1" t="s">
        <v>37</v>
      </c>
      <c r="F562" s="1" t="s">
        <v>54</v>
      </c>
      <c r="G562" s="1" t="s">
        <v>34</v>
      </c>
      <c r="H562" s="1">
        <v>1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f t="shared" si="8"/>
        <v>0</v>
      </c>
      <c r="O562" s="1">
        <v>0</v>
      </c>
      <c r="P562" s="1"/>
      <c r="Q562" s="1">
        <v>25</v>
      </c>
    </row>
    <row r="563" spans="1:17">
      <c r="A563" s="1" t="s">
        <v>605</v>
      </c>
      <c r="B563" s="4">
        <v>45746</v>
      </c>
      <c r="C563" s="1" t="s">
        <v>1</v>
      </c>
      <c r="D563" s="1" t="s">
        <v>41</v>
      </c>
      <c r="E563" s="1" t="s">
        <v>37</v>
      </c>
      <c r="F563" s="1" t="s">
        <v>54</v>
      </c>
      <c r="G563" s="1" t="s">
        <v>34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f t="shared" si="8"/>
        <v>0</v>
      </c>
      <c r="O563" s="1">
        <v>0</v>
      </c>
      <c r="P563" s="1"/>
      <c r="Q563" s="1">
        <v>53.4</v>
      </c>
    </row>
    <row r="564" spans="1:17">
      <c r="A564" s="1" t="s">
        <v>606</v>
      </c>
      <c r="B564" s="4">
        <v>45757</v>
      </c>
      <c r="C564" s="1" t="s">
        <v>1</v>
      </c>
      <c r="D564" s="1" t="s">
        <v>41</v>
      </c>
      <c r="E564" s="1" t="s">
        <v>32</v>
      </c>
      <c r="F564" s="1" t="s">
        <v>38</v>
      </c>
      <c r="G564" s="1" t="s">
        <v>34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f t="shared" si="8"/>
        <v>0</v>
      </c>
      <c r="O564" s="1">
        <v>0</v>
      </c>
      <c r="P564" s="1"/>
      <c r="Q564" s="1">
        <v>40.700000000000003</v>
      </c>
    </row>
    <row r="565" spans="1:17">
      <c r="A565" s="1" t="s">
        <v>607</v>
      </c>
      <c r="B565" s="4">
        <v>45740</v>
      </c>
      <c r="C565" s="1" t="s">
        <v>1</v>
      </c>
      <c r="D565" s="1" t="s">
        <v>41</v>
      </c>
      <c r="E565" s="1" t="s">
        <v>37</v>
      </c>
      <c r="F565" s="1" t="s">
        <v>38</v>
      </c>
      <c r="G565" s="1" t="s">
        <v>43</v>
      </c>
      <c r="H565" s="1">
        <v>1</v>
      </c>
      <c r="I565" s="1">
        <v>1</v>
      </c>
      <c r="J565" s="1">
        <v>0</v>
      </c>
      <c r="K565" s="1">
        <v>0</v>
      </c>
      <c r="L565" s="1">
        <v>0</v>
      </c>
      <c r="M565" s="1">
        <v>0</v>
      </c>
      <c r="N565" s="1">
        <f t="shared" si="8"/>
        <v>0</v>
      </c>
      <c r="O565" s="1">
        <v>0</v>
      </c>
      <c r="P565" s="1"/>
      <c r="Q565" s="1">
        <v>36.700000000000003</v>
      </c>
    </row>
    <row r="566" spans="1:17">
      <c r="A566" s="1" t="s">
        <v>608</v>
      </c>
      <c r="B566" s="4">
        <v>45798</v>
      </c>
      <c r="C566" s="1" t="s">
        <v>1</v>
      </c>
      <c r="D566" s="1" t="s">
        <v>36</v>
      </c>
      <c r="E566" s="1" t="s">
        <v>37</v>
      </c>
      <c r="F566" s="1" t="s">
        <v>38</v>
      </c>
      <c r="G566" s="1" t="s">
        <v>34</v>
      </c>
      <c r="H566" s="1">
        <v>1</v>
      </c>
      <c r="I566" s="1">
        <v>0</v>
      </c>
      <c r="J566" s="1">
        <v>0</v>
      </c>
      <c r="K566" s="1">
        <v>0</v>
      </c>
      <c r="L566" s="1">
        <v>0</v>
      </c>
      <c r="M566" s="1">
        <v>1</v>
      </c>
      <c r="N566" s="1">
        <f t="shared" si="8"/>
        <v>1</v>
      </c>
      <c r="O566" s="1">
        <v>0</v>
      </c>
      <c r="P566" s="1"/>
      <c r="Q566" s="1">
        <v>67.5</v>
      </c>
    </row>
    <row r="567" spans="1:17">
      <c r="A567" s="1" t="s">
        <v>609</v>
      </c>
      <c r="B567" s="4">
        <v>45745</v>
      </c>
      <c r="C567" s="1" t="s">
        <v>1</v>
      </c>
      <c r="D567" s="1" t="s">
        <v>41</v>
      </c>
      <c r="E567" s="1" t="s">
        <v>37</v>
      </c>
      <c r="F567" s="1" t="s">
        <v>54</v>
      </c>
      <c r="G567" s="1" t="s">
        <v>43</v>
      </c>
      <c r="H567" s="1">
        <v>1</v>
      </c>
      <c r="I567" s="1">
        <v>1</v>
      </c>
      <c r="J567" s="1">
        <v>1</v>
      </c>
      <c r="K567" s="1">
        <v>0</v>
      </c>
      <c r="L567" s="1">
        <v>0</v>
      </c>
      <c r="M567" s="1">
        <v>0</v>
      </c>
      <c r="N567" s="1">
        <f t="shared" si="8"/>
        <v>0</v>
      </c>
      <c r="O567" s="1">
        <v>0</v>
      </c>
      <c r="P567" s="1"/>
      <c r="Q567" s="1">
        <v>69.900000000000006</v>
      </c>
    </row>
    <row r="568" spans="1:17">
      <c r="A568" s="1" t="s">
        <v>610</v>
      </c>
      <c r="B568" s="4">
        <v>45711</v>
      </c>
      <c r="C568" s="1" t="s">
        <v>1</v>
      </c>
      <c r="D568" s="1" t="s">
        <v>31</v>
      </c>
      <c r="E568" s="1" t="s">
        <v>47</v>
      </c>
      <c r="F568" s="1" t="s">
        <v>52</v>
      </c>
      <c r="G568" s="1" t="s">
        <v>34</v>
      </c>
      <c r="H568" s="1">
        <v>1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f t="shared" si="8"/>
        <v>0</v>
      </c>
      <c r="O568" s="1">
        <v>0</v>
      </c>
      <c r="P568" s="1"/>
      <c r="Q568" s="1">
        <v>65.099999999999994</v>
      </c>
    </row>
    <row r="569" spans="1:17">
      <c r="A569" s="1" t="s">
        <v>611</v>
      </c>
      <c r="B569" s="4">
        <v>45704</v>
      </c>
      <c r="C569" s="1" t="s">
        <v>1</v>
      </c>
      <c r="D569" s="1" t="s">
        <v>36</v>
      </c>
      <c r="E569" s="1" t="s">
        <v>37</v>
      </c>
      <c r="F569" s="1" t="s">
        <v>42</v>
      </c>
      <c r="G569" s="1" t="s">
        <v>43</v>
      </c>
      <c r="H569" s="1">
        <v>1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f t="shared" si="8"/>
        <v>0</v>
      </c>
      <c r="O569" s="1">
        <v>0</v>
      </c>
      <c r="P569" s="1"/>
      <c r="Q569" s="1">
        <v>48.7</v>
      </c>
    </row>
    <row r="570" spans="1:17">
      <c r="A570" s="1" t="s">
        <v>612</v>
      </c>
      <c r="B570" s="4">
        <v>45709</v>
      </c>
      <c r="C570" s="1" t="s">
        <v>1</v>
      </c>
      <c r="D570" s="1" t="s">
        <v>36</v>
      </c>
      <c r="E570" s="1" t="s">
        <v>32</v>
      </c>
      <c r="F570" s="1" t="s">
        <v>38</v>
      </c>
      <c r="G570" s="1" t="s">
        <v>34</v>
      </c>
      <c r="H570" s="1">
        <v>1</v>
      </c>
      <c r="I570" s="1">
        <v>1</v>
      </c>
      <c r="J570" s="1">
        <v>0</v>
      </c>
      <c r="K570" s="1">
        <v>0</v>
      </c>
      <c r="L570" s="1">
        <v>0</v>
      </c>
      <c r="M570" s="1">
        <v>0</v>
      </c>
      <c r="N570" s="1">
        <f t="shared" si="8"/>
        <v>0</v>
      </c>
      <c r="O570" s="1">
        <v>0</v>
      </c>
      <c r="P570" s="1"/>
      <c r="Q570" s="1">
        <v>47.2</v>
      </c>
    </row>
    <row r="571" spans="1:17">
      <c r="A571" s="1" t="s">
        <v>613</v>
      </c>
      <c r="B571" s="4">
        <v>45664</v>
      </c>
      <c r="C571" s="1" t="s">
        <v>1</v>
      </c>
      <c r="D571" s="1" t="s">
        <v>31</v>
      </c>
      <c r="E571" s="1" t="s">
        <v>37</v>
      </c>
      <c r="F571" s="1" t="s">
        <v>52</v>
      </c>
      <c r="G571" s="1" t="s">
        <v>39</v>
      </c>
      <c r="H571" s="1">
        <v>1</v>
      </c>
      <c r="I571" s="1">
        <v>0</v>
      </c>
      <c r="J571" s="1">
        <v>0</v>
      </c>
      <c r="K571" s="1">
        <v>0</v>
      </c>
      <c r="L571" s="1">
        <v>0</v>
      </c>
      <c r="M571" s="1">
        <v>2</v>
      </c>
      <c r="N571" s="1">
        <f t="shared" si="8"/>
        <v>1</v>
      </c>
      <c r="O571" s="1">
        <v>0</v>
      </c>
      <c r="P571" s="1"/>
      <c r="Q571" s="1">
        <v>20.3</v>
      </c>
    </row>
    <row r="572" spans="1:17">
      <c r="A572" s="1" t="s">
        <v>614</v>
      </c>
      <c r="B572" s="4">
        <v>45722</v>
      </c>
      <c r="C572" s="1" t="s">
        <v>1</v>
      </c>
      <c r="D572" s="1" t="s">
        <v>36</v>
      </c>
      <c r="E572" s="1" t="s">
        <v>37</v>
      </c>
      <c r="F572" s="1" t="s">
        <v>42</v>
      </c>
      <c r="G572" s="1" t="s">
        <v>39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1</v>
      </c>
      <c r="N572" s="1">
        <f t="shared" si="8"/>
        <v>1</v>
      </c>
      <c r="O572" s="1">
        <v>0</v>
      </c>
      <c r="P572" s="1"/>
      <c r="Q572" s="1">
        <v>57.8</v>
      </c>
    </row>
    <row r="573" spans="1:17">
      <c r="A573" s="1" t="s">
        <v>615</v>
      </c>
      <c r="B573" s="4">
        <v>45746</v>
      </c>
      <c r="C573" s="1" t="s">
        <v>1</v>
      </c>
      <c r="D573" s="1" t="s">
        <v>41</v>
      </c>
      <c r="E573" s="1" t="s">
        <v>37</v>
      </c>
      <c r="F573" s="1" t="s">
        <v>33</v>
      </c>
      <c r="G573" s="1" t="s">
        <v>34</v>
      </c>
      <c r="H573" s="1">
        <v>1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f t="shared" si="8"/>
        <v>0</v>
      </c>
      <c r="O573" s="1">
        <v>0</v>
      </c>
      <c r="P573" s="1"/>
      <c r="Q573" s="1">
        <v>78.7</v>
      </c>
    </row>
    <row r="574" spans="1:17">
      <c r="A574" s="1" t="s">
        <v>616</v>
      </c>
      <c r="B574" s="4">
        <v>45808</v>
      </c>
      <c r="C574" s="1" t="s">
        <v>1</v>
      </c>
      <c r="D574" s="1" t="s">
        <v>45</v>
      </c>
      <c r="E574" s="1" t="s">
        <v>32</v>
      </c>
      <c r="F574" s="1" t="s">
        <v>38</v>
      </c>
      <c r="G574" s="1" t="s">
        <v>39</v>
      </c>
      <c r="H574" s="1">
        <v>1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f t="shared" si="8"/>
        <v>0</v>
      </c>
      <c r="O574" s="1">
        <v>0</v>
      </c>
      <c r="P574" s="1"/>
      <c r="Q574" s="1">
        <v>63.6</v>
      </c>
    </row>
    <row r="575" spans="1:17">
      <c r="A575" s="1" t="s">
        <v>617</v>
      </c>
      <c r="B575" s="4">
        <v>45708</v>
      </c>
      <c r="C575" s="1" t="s">
        <v>1</v>
      </c>
      <c r="D575" s="1" t="s">
        <v>45</v>
      </c>
      <c r="E575" s="1" t="s">
        <v>37</v>
      </c>
      <c r="F575" s="1" t="s">
        <v>33</v>
      </c>
      <c r="G575" s="1" t="s">
        <v>39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2</v>
      </c>
      <c r="N575" s="1">
        <f t="shared" si="8"/>
        <v>1</v>
      </c>
      <c r="O575" s="1">
        <v>0</v>
      </c>
      <c r="P575" s="1"/>
      <c r="Q575" s="1">
        <v>45.1</v>
      </c>
    </row>
    <row r="576" spans="1:17">
      <c r="A576" s="1" t="s">
        <v>618</v>
      </c>
      <c r="B576" s="4">
        <v>45670</v>
      </c>
      <c r="C576" s="1" t="s">
        <v>1</v>
      </c>
      <c r="D576" s="1" t="s">
        <v>36</v>
      </c>
      <c r="E576" s="1" t="s">
        <v>37</v>
      </c>
      <c r="F576" s="1" t="s">
        <v>54</v>
      </c>
      <c r="G576" s="1" t="s">
        <v>39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f t="shared" si="8"/>
        <v>0</v>
      </c>
      <c r="O576" s="1">
        <v>0</v>
      </c>
      <c r="P576" s="1"/>
      <c r="Q576" s="1">
        <v>77.5</v>
      </c>
    </row>
    <row r="577" spans="1:17">
      <c r="A577" s="1" t="s">
        <v>619</v>
      </c>
      <c r="B577" s="4">
        <v>45790</v>
      </c>
      <c r="C577" s="1" t="s">
        <v>1</v>
      </c>
      <c r="D577" s="1" t="s">
        <v>41</v>
      </c>
      <c r="E577" s="1" t="s">
        <v>32</v>
      </c>
      <c r="F577" s="1" t="s">
        <v>42</v>
      </c>
      <c r="G577" s="1" t="s">
        <v>34</v>
      </c>
      <c r="H577" s="1">
        <v>1</v>
      </c>
      <c r="I577" s="1">
        <v>1</v>
      </c>
      <c r="J577" s="1">
        <v>0</v>
      </c>
      <c r="K577" s="1">
        <v>0</v>
      </c>
      <c r="L577" s="1">
        <v>0</v>
      </c>
      <c r="M577" s="1">
        <v>0</v>
      </c>
      <c r="N577" s="1">
        <f t="shared" si="8"/>
        <v>0</v>
      </c>
      <c r="O577" s="1">
        <v>0</v>
      </c>
      <c r="P577" s="1"/>
      <c r="Q577" s="1">
        <v>58</v>
      </c>
    </row>
    <row r="578" spans="1:17">
      <c r="A578" s="1" t="s">
        <v>620</v>
      </c>
      <c r="B578" s="4">
        <v>45768</v>
      </c>
      <c r="C578" s="1" t="s">
        <v>1</v>
      </c>
      <c r="D578" s="1" t="s">
        <v>45</v>
      </c>
      <c r="E578" s="1" t="s">
        <v>47</v>
      </c>
      <c r="F578" s="1" t="s">
        <v>38</v>
      </c>
      <c r="G578" s="1" t="s">
        <v>39</v>
      </c>
      <c r="H578" s="1">
        <v>1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f t="shared" si="8"/>
        <v>0</v>
      </c>
      <c r="O578" s="1">
        <v>0</v>
      </c>
      <c r="P578" s="1"/>
      <c r="Q578" s="1">
        <v>68.099999999999994</v>
      </c>
    </row>
    <row r="579" spans="1:17">
      <c r="A579" s="1" t="s">
        <v>621</v>
      </c>
      <c r="B579" s="4">
        <v>45717</v>
      </c>
      <c r="C579" s="1" t="s">
        <v>1</v>
      </c>
      <c r="D579" s="1" t="s">
        <v>41</v>
      </c>
      <c r="E579" s="1" t="s">
        <v>47</v>
      </c>
      <c r="F579" s="1" t="s">
        <v>38</v>
      </c>
      <c r="G579" s="1" t="s">
        <v>43</v>
      </c>
      <c r="H579" s="1">
        <v>1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f t="shared" ref="N579:N642" si="9">IF(M579&gt;0,1,0)</f>
        <v>0</v>
      </c>
      <c r="O579" s="1">
        <v>0</v>
      </c>
      <c r="P579" s="1"/>
      <c r="Q579" s="1">
        <v>35.4</v>
      </c>
    </row>
    <row r="580" spans="1:17">
      <c r="A580" s="1" t="s">
        <v>622</v>
      </c>
      <c r="B580" s="4">
        <v>45726</v>
      </c>
      <c r="C580" s="1" t="s">
        <v>1</v>
      </c>
      <c r="D580" s="1" t="s">
        <v>36</v>
      </c>
      <c r="E580" s="1" t="s">
        <v>47</v>
      </c>
      <c r="F580" s="1" t="s">
        <v>38</v>
      </c>
      <c r="G580" s="1" t="s">
        <v>39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f t="shared" si="9"/>
        <v>0</v>
      </c>
      <c r="O580" s="1">
        <v>0</v>
      </c>
      <c r="P580" s="1"/>
      <c r="Q580" s="1">
        <v>47</v>
      </c>
    </row>
    <row r="581" spans="1:17">
      <c r="A581" s="1" t="s">
        <v>623</v>
      </c>
      <c r="B581" s="4">
        <v>45724</v>
      </c>
      <c r="C581" s="1" t="s">
        <v>1</v>
      </c>
      <c r="D581" s="1" t="s">
        <v>41</v>
      </c>
      <c r="E581" s="1" t="s">
        <v>32</v>
      </c>
      <c r="F581" s="1" t="s">
        <v>42</v>
      </c>
      <c r="G581" s="1" t="s">
        <v>39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f t="shared" si="9"/>
        <v>0</v>
      </c>
      <c r="O581" s="1">
        <v>0</v>
      </c>
      <c r="P581" s="1"/>
      <c r="Q581" s="1">
        <v>75</v>
      </c>
    </row>
    <row r="582" spans="1:17">
      <c r="A582" s="1" t="s">
        <v>624</v>
      </c>
      <c r="B582" s="4">
        <v>45803</v>
      </c>
      <c r="C582" s="1" t="s">
        <v>1</v>
      </c>
      <c r="D582" s="1" t="s">
        <v>45</v>
      </c>
      <c r="E582" s="1" t="s">
        <v>32</v>
      </c>
      <c r="F582" s="1" t="s">
        <v>42</v>
      </c>
      <c r="G582" s="1" t="s">
        <v>39</v>
      </c>
      <c r="H582" s="1">
        <v>1</v>
      </c>
      <c r="I582" s="1">
        <v>1</v>
      </c>
      <c r="J582" s="1">
        <v>1</v>
      </c>
      <c r="K582" s="1">
        <v>0</v>
      </c>
      <c r="L582" s="1">
        <v>0</v>
      </c>
      <c r="M582" s="1">
        <v>3</v>
      </c>
      <c r="N582" s="1">
        <f t="shared" si="9"/>
        <v>1</v>
      </c>
      <c r="O582" s="1">
        <v>0</v>
      </c>
      <c r="P582" s="1"/>
      <c r="Q582" s="1">
        <v>50.2</v>
      </c>
    </row>
    <row r="583" spans="1:17">
      <c r="A583" s="1" t="s">
        <v>625</v>
      </c>
      <c r="B583" s="4">
        <v>45797</v>
      </c>
      <c r="C583" s="1" t="s">
        <v>1</v>
      </c>
      <c r="D583" s="1" t="s">
        <v>41</v>
      </c>
      <c r="E583" s="1" t="s">
        <v>32</v>
      </c>
      <c r="F583" s="1" t="s">
        <v>42</v>
      </c>
      <c r="G583" s="1" t="s">
        <v>39</v>
      </c>
      <c r="H583" s="1">
        <v>1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f t="shared" si="9"/>
        <v>0</v>
      </c>
      <c r="O583" s="1">
        <v>0</v>
      </c>
      <c r="P583" s="1"/>
      <c r="Q583" s="1">
        <v>40.1</v>
      </c>
    </row>
    <row r="584" spans="1:17">
      <c r="A584" s="1" t="s">
        <v>626</v>
      </c>
      <c r="B584" s="4">
        <v>45738</v>
      </c>
      <c r="C584" s="1" t="s">
        <v>1</v>
      </c>
      <c r="D584" s="1" t="s">
        <v>36</v>
      </c>
      <c r="E584" s="1" t="s">
        <v>32</v>
      </c>
      <c r="F584" s="1" t="s">
        <v>42</v>
      </c>
      <c r="G584" s="1" t="s">
        <v>39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f t="shared" si="9"/>
        <v>0</v>
      </c>
      <c r="O584" s="1">
        <v>0</v>
      </c>
      <c r="P584" s="1"/>
      <c r="Q584" s="1">
        <v>61.1</v>
      </c>
    </row>
    <row r="585" spans="1:17">
      <c r="A585" s="1" t="s">
        <v>627</v>
      </c>
      <c r="B585" s="4">
        <v>45703</v>
      </c>
      <c r="C585" s="1" t="s">
        <v>1</v>
      </c>
      <c r="D585" s="1" t="s">
        <v>45</v>
      </c>
      <c r="E585" s="1" t="s">
        <v>32</v>
      </c>
      <c r="F585" s="1" t="s">
        <v>42</v>
      </c>
      <c r="G585" s="1" t="s">
        <v>39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f t="shared" si="9"/>
        <v>0</v>
      </c>
      <c r="O585" s="1">
        <v>0</v>
      </c>
      <c r="P585" s="1"/>
      <c r="Q585" s="1">
        <v>42.4</v>
      </c>
    </row>
    <row r="586" spans="1:17">
      <c r="A586" s="1" t="s">
        <v>628</v>
      </c>
      <c r="B586" s="4">
        <v>45665</v>
      </c>
      <c r="C586" s="1" t="s">
        <v>1</v>
      </c>
      <c r="D586" s="1" t="s">
        <v>31</v>
      </c>
      <c r="E586" s="1" t="s">
        <v>37</v>
      </c>
      <c r="F586" s="1" t="s">
        <v>54</v>
      </c>
      <c r="G586" s="1" t="s">
        <v>39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1</v>
      </c>
      <c r="N586" s="1">
        <f t="shared" si="9"/>
        <v>1</v>
      </c>
      <c r="O586" s="1">
        <v>0</v>
      </c>
      <c r="P586" s="1"/>
      <c r="Q586" s="1">
        <v>46.6</v>
      </c>
    </row>
    <row r="587" spans="1:17">
      <c r="A587" s="1" t="s">
        <v>629</v>
      </c>
      <c r="B587" s="4">
        <v>45686</v>
      </c>
      <c r="C587" s="1" t="s">
        <v>1</v>
      </c>
      <c r="D587" s="1" t="s">
        <v>45</v>
      </c>
      <c r="E587" s="1" t="s">
        <v>37</v>
      </c>
      <c r="F587" s="1" t="s">
        <v>38</v>
      </c>
      <c r="G587" s="1" t="s">
        <v>43</v>
      </c>
      <c r="H587" s="1">
        <v>1</v>
      </c>
      <c r="I587" s="1">
        <v>1</v>
      </c>
      <c r="J587" s="1">
        <v>0</v>
      </c>
      <c r="K587" s="1">
        <v>0</v>
      </c>
      <c r="L587" s="1">
        <v>0</v>
      </c>
      <c r="M587" s="1">
        <v>0</v>
      </c>
      <c r="N587" s="1">
        <f t="shared" si="9"/>
        <v>0</v>
      </c>
      <c r="O587" s="1">
        <v>0</v>
      </c>
      <c r="P587" s="1"/>
      <c r="Q587" s="1">
        <v>72.099999999999994</v>
      </c>
    </row>
    <row r="588" spans="1:17">
      <c r="A588" s="1" t="s">
        <v>630</v>
      </c>
      <c r="B588" s="4">
        <v>45784</v>
      </c>
      <c r="C588" s="1" t="s">
        <v>1</v>
      </c>
      <c r="D588" s="1" t="s">
        <v>41</v>
      </c>
      <c r="E588" s="1" t="s">
        <v>47</v>
      </c>
      <c r="F588" s="1" t="s">
        <v>38</v>
      </c>
      <c r="G588" s="1" t="s">
        <v>39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f t="shared" si="9"/>
        <v>0</v>
      </c>
      <c r="O588" s="1">
        <v>0</v>
      </c>
      <c r="P588" s="1"/>
      <c r="Q588" s="1">
        <v>21.5</v>
      </c>
    </row>
    <row r="589" spans="1:17">
      <c r="A589" s="1" t="s">
        <v>631</v>
      </c>
      <c r="B589" s="4">
        <v>45717</v>
      </c>
      <c r="C589" s="1" t="s">
        <v>1</v>
      </c>
      <c r="D589" s="1" t="s">
        <v>31</v>
      </c>
      <c r="E589" s="1" t="s">
        <v>37</v>
      </c>
      <c r="F589" s="1" t="s">
        <v>54</v>
      </c>
      <c r="G589" s="1" t="s">
        <v>34</v>
      </c>
      <c r="H589" s="1">
        <v>1</v>
      </c>
      <c r="I589" s="1">
        <v>0</v>
      </c>
      <c r="J589" s="1">
        <v>0</v>
      </c>
      <c r="K589" s="1">
        <v>0</v>
      </c>
      <c r="L589" s="1">
        <v>0</v>
      </c>
      <c r="M589" s="1">
        <v>1</v>
      </c>
      <c r="N589" s="1">
        <f t="shared" si="9"/>
        <v>1</v>
      </c>
      <c r="O589" s="1">
        <v>0</v>
      </c>
      <c r="P589" s="1"/>
      <c r="Q589" s="1">
        <v>65.400000000000006</v>
      </c>
    </row>
    <row r="590" spans="1:17">
      <c r="A590" s="1" t="s">
        <v>632</v>
      </c>
      <c r="B590" s="4">
        <v>45767</v>
      </c>
      <c r="C590" s="1" t="s">
        <v>1</v>
      </c>
      <c r="D590" s="1" t="s">
        <v>41</v>
      </c>
      <c r="E590" s="1" t="s">
        <v>37</v>
      </c>
      <c r="F590" s="1" t="s">
        <v>38</v>
      </c>
      <c r="G590" s="1" t="s">
        <v>39</v>
      </c>
      <c r="H590" s="1">
        <v>1</v>
      </c>
      <c r="I590" s="1">
        <v>1</v>
      </c>
      <c r="J590" s="1">
        <v>0</v>
      </c>
      <c r="K590" s="1">
        <v>0</v>
      </c>
      <c r="L590" s="1">
        <v>0</v>
      </c>
      <c r="M590" s="1">
        <v>0</v>
      </c>
      <c r="N590" s="1">
        <f t="shared" si="9"/>
        <v>0</v>
      </c>
      <c r="O590" s="1">
        <v>0</v>
      </c>
      <c r="P590" s="1"/>
      <c r="Q590" s="1">
        <v>53.3</v>
      </c>
    </row>
    <row r="591" spans="1:17">
      <c r="A591" s="1" t="s">
        <v>633</v>
      </c>
      <c r="B591" s="4">
        <v>45673</v>
      </c>
      <c r="C591" s="1" t="s">
        <v>1</v>
      </c>
      <c r="D591" s="1" t="s">
        <v>41</v>
      </c>
      <c r="E591" s="1" t="s">
        <v>37</v>
      </c>
      <c r="F591" s="1" t="s">
        <v>38</v>
      </c>
      <c r="G591" s="1" t="s">
        <v>43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2</v>
      </c>
      <c r="N591" s="1">
        <f t="shared" si="9"/>
        <v>1</v>
      </c>
      <c r="O591" s="1">
        <v>0</v>
      </c>
      <c r="P591" s="1"/>
      <c r="Q591" s="1">
        <v>52.3</v>
      </c>
    </row>
    <row r="592" spans="1:17">
      <c r="A592" s="1" t="s">
        <v>634</v>
      </c>
      <c r="B592" s="4">
        <v>45751</v>
      </c>
      <c r="C592" s="1" t="s">
        <v>1</v>
      </c>
      <c r="D592" s="1" t="s">
        <v>41</v>
      </c>
      <c r="E592" s="1" t="s">
        <v>37</v>
      </c>
      <c r="F592" s="1" t="s">
        <v>42</v>
      </c>
      <c r="G592" s="1" t="s">
        <v>39</v>
      </c>
      <c r="H592" s="1">
        <v>1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f t="shared" si="9"/>
        <v>0</v>
      </c>
      <c r="O592" s="1">
        <v>0</v>
      </c>
      <c r="P592" s="1"/>
      <c r="Q592" s="1">
        <v>62.5</v>
      </c>
    </row>
    <row r="593" spans="1:17">
      <c r="A593" s="1" t="s">
        <v>635</v>
      </c>
      <c r="B593" s="4">
        <v>45686</v>
      </c>
      <c r="C593" s="1" t="s">
        <v>1</v>
      </c>
      <c r="D593" s="1" t="s">
        <v>31</v>
      </c>
      <c r="E593" s="1" t="s">
        <v>47</v>
      </c>
      <c r="F593" s="1" t="s">
        <v>54</v>
      </c>
      <c r="G593" s="1" t="s">
        <v>39</v>
      </c>
      <c r="H593" s="1">
        <v>1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f t="shared" si="9"/>
        <v>0</v>
      </c>
      <c r="O593" s="1">
        <v>0</v>
      </c>
      <c r="P593" s="1"/>
      <c r="Q593" s="1">
        <v>69.8</v>
      </c>
    </row>
    <row r="594" spans="1:17">
      <c r="A594" s="1" t="s">
        <v>636</v>
      </c>
      <c r="B594" s="4">
        <v>45766</v>
      </c>
      <c r="C594" s="1" t="s">
        <v>1</v>
      </c>
      <c r="D594" s="1" t="s">
        <v>41</v>
      </c>
      <c r="E594" s="1" t="s">
        <v>37</v>
      </c>
      <c r="F594" s="1" t="s">
        <v>33</v>
      </c>
      <c r="G594" s="1" t="s">
        <v>39</v>
      </c>
      <c r="H594" s="1">
        <v>1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f t="shared" si="9"/>
        <v>0</v>
      </c>
      <c r="O594" s="1">
        <v>0</v>
      </c>
      <c r="P594" s="1"/>
      <c r="Q594" s="1">
        <v>68.2</v>
      </c>
    </row>
    <row r="595" spans="1:17">
      <c r="A595" s="1" t="s">
        <v>637</v>
      </c>
      <c r="B595" s="4">
        <v>45726</v>
      </c>
      <c r="C595" s="1" t="s">
        <v>1</v>
      </c>
      <c r="D595" s="1" t="s">
        <v>45</v>
      </c>
      <c r="E595" s="1" t="s">
        <v>37</v>
      </c>
      <c r="F595" s="1" t="s">
        <v>54</v>
      </c>
      <c r="G595" s="1" t="s">
        <v>34</v>
      </c>
      <c r="H595" s="1">
        <v>1</v>
      </c>
      <c r="I595" s="1">
        <v>1</v>
      </c>
      <c r="J595" s="1">
        <v>1</v>
      </c>
      <c r="K595" s="1">
        <v>1</v>
      </c>
      <c r="L595" s="1">
        <v>751.73</v>
      </c>
      <c r="M595" s="1">
        <v>0</v>
      </c>
      <c r="N595" s="1">
        <f t="shared" si="9"/>
        <v>0</v>
      </c>
      <c r="O595" s="1">
        <v>0</v>
      </c>
      <c r="P595" s="1">
        <v>6</v>
      </c>
      <c r="Q595" s="1">
        <v>35.200000000000003</v>
      </c>
    </row>
    <row r="596" spans="1:17">
      <c r="A596" s="1" t="s">
        <v>638</v>
      </c>
      <c r="B596" s="4">
        <v>45787</v>
      </c>
      <c r="C596" s="1" t="s">
        <v>1</v>
      </c>
      <c r="D596" s="1" t="s">
        <v>45</v>
      </c>
      <c r="E596" s="1" t="s">
        <v>37</v>
      </c>
      <c r="F596" s="1" t="s">
        <v>54</v>
      </c>
      <c r="G596" s="1" t="s">
        <v>34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f t="shared" si="9"/>
        <v>0</v>
      </c>
      <c r="O596" s="1">
        <v>0</v>
      </c>
      <c r="P596" s="1"/>
      <c r="Q596" s="1">
        <v>59.3</v>
      </c>
    </row>
    <row r="597" spans="1:17">
      <c r="A597" s="1" t="s">
        <v>639</v>
      </c>
      <c r="B597" s="4">
        <v>45690</v>
      </c>
      <c r="C597" s="1" t="s">
        <v>1</v>
      </c>
      <c r="D597" s="1" t="s">
        <v>31</v>
      </c>
      <c r="E597" s="1" t="s">
        <v>37</v>
      </c>
      <c r="F597" s="1" t="s">
        <v>54</v>
      </c>
      <c r="G597" s="1" t="s">
        <v>39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f t="shared" si="9"/>
        <v>0</v>
      </c>
      <c r="O597" s="1">
        <v>0</v>
      </c>
      <c r="P597" s="1"/>
      <c r="Q597" s="1">
        <v>68.099999999999994</v>
      </c>
    </row>
    <row r="598" spans="1:17">
      <c r="A598" s="1" t="s">
        <v>640</v>
      </c>
      <c r="B598" s="4">
        <v>45783</v>
      </c>
      <c r="C598" s="1" t="s">
        <v>1</v>
      </c>
      <c r="D598" s="1" t="s">
        <v>31</v>
      </c>
      <c r="E598" s="1" t="s">
        <v>32</v>
      </c>
      <c r="F598" s="1" t="s">
        <v>38</v>
      </c>
      <c r="G598" s="1" t="s">
        <v>39</v>
      </c>
      <c r="H598" s="1">
        <v>1</v>
      </c>
      <c r="I598" s="1">
        <v>1</v>
      </c>
      <c r="J598" s="1">
        <v>0</v>
      </c>
      <c r="K598" s="1">
        <v>0</v>
      </c>
      <c r="L598" s="1">
        <v>0</v>
      </c>
      <c r="M598" s="1">
        <v>0</v>
      </c>
      <c r="N598" s="1">
        <f t="shared" si="9"/>
        <v>0</v>
      </c>
      <c r="O598" s="1">
        <v>0</v>
      </c>
      <c r="P598" s="1"/>
      <c r="Q598" s="1">
        <v>74.8</v>
      </c>
    </row>
    <row r="599" spans="1:17">
      <c r="A599" s="1" t="s">
        <v>641</v>
      </c>
      <c r="B599" s="4">
        <v>45676</v>
      </c>
      <c r="C599" s="1" t="s">
        <v>1</v>
      </c>
      <c r="D599" s="1" t="s">
        <v>36</v>
      </c>
      <c r="E599" s="1" t="s">
        <v>32</v>
      </c>
      <c r="F599" s="1" t="s">
        <v>38</v>
      </c>
      <c r="G599" s="1" t="s">
        <v>39</v>
      </c>
      <c r="H599" s="1">
        <v>1</v>
      </c>
      <c r="I599" s="1">
        <v>1</v>
      </c>
      <c r="J599" s="1">
        <v>1</v>
      </c>
      <c r="K599" s="1">
        <v>0</v>
      </c>
      <c r="L599" s="1">
        <v>0</v>
      </c>
      <c r="M599" s="1">
        <v>0</v>
      </c>
      <c r="N599" s="1">
        <f t="shared" si="9"/>
        <v>0</v>
      </c>
      <c r="O599" s="1">
        <v>0</v>
      </c>
      <c r="P599" s="1"/>
      <c r="Q599" s="1">
        <v>61.7</v>
      </c>
    </row>
    <row r="600" spans="1:17">
      <c r="A600" s="1" t="s">
        <v>642</v>
      </c>
      <c r="B600" s="4">
        <v>45659</v>
      </c>
      <c r="C600" s="1" t="s">
        <v>1</v>
      </c>
      <c r="D600" s="1" t="s">
        <v>31</v>
      </c>
      <c r="E600" s="1" t="s">
        <v>37</v>
      </c>
      <c r="F600" s="1" t="s">
        <v>38</v>
      </c>
      <c r="G600" s="1" t="s">
        <v>39</v>
      </c>
      <c r="H600" s="1">
        <v>1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f t="shared" si="9"/>
        <v>0</v>
      </c>
      <c r="O600" s="1">
        <v>0</v>
      </c>
      <c r="P600" s="1"/>
      <c r="Q600" s="1">
        <v>24.3</v>
      </c>
    </row>
    <row r="601" spans="1:17">
      <c r="A601" s="1" t="s">
        <v>643</v>
      </c>
      <c r="B601" s="4">
        <v>45780</v>
      </c>
      <c r="C601" s="1" t="s">
        <v>1</v>
      </c>
      <c r="D601" s="1" t="s">
        <v>45</v>
      </c>
      <c r="E601" s="1" t="s">
        <v>32</v>
      </c>
      <c r="F601" s="1" t="s">
        <v>42</v>
      </c>
      <c r="G601" s="1" t="s">
        <v>39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1</v>
      </c>
      <c r="N601" s="1">
        <f t="shared" si="9"/>
        <v>1</v>
      </c>
      <c r="O601" s="1">
        <v>0</v>
      </c>
      <c r="P601" s="1"/>
      <c r="Q601" s="1">
        <v>61.9</v>
      </c>
    </row>
    <row r="602" spans="1:17">
      <c r="A602" s="1" t="s">
        <v>644</v>
      </c>
      <c r="B602" s="4">
        <v>45804</v>
      </c>
      <c r="C602" s="1" t="s">
        <v>1</v>
      </c>
      <c r="D602" s="1" t="s">
        <v>41</v>
      </c>
      <c r="E602" s="1" t="s">
        <v>32</v>
      </c>
      <c r="F602" s="1" t="s">
        <v>52</v>
      </c>
      <c r="G602" s="1" t="s">
        <v>43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2</v>
      </c>
      <c r="N602" s="1">
        <f t="shared" si="9"/>
        <v>1</v>
      </c>
      <c r="O602" s="1">
        <v>0</v>
      </c>
      <c r="P602" s="1"/>
      <c r="Q602" s="1">
        <v>41.7</v>
      </c>
    </row>
    <row r="603" spans="1:17">
      <c r="A603" s="1" t="s">
        <v>645</v>
      </c>
      <c r="B603" s="4">
        <v>45697</v>
      </c>
      <c r="C603" s="1" t="s">
        <v>1</v>
      </c>
      <c r="D603" s="1" t="s">
        <v>45</v>
      </c>
      <c r="E603" s="1" t="s">
        <v>32</v>
      </c>
      <c r="F603" s="1" t="s">
        <v>54</v>
      </c>
      <c r="G603" s="1" t="s">
        <v>39</v>
      </c>
      <c r="H603" s="1">
        <v>1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f t="shared" si="9"/>
        <v>0</v>
      </c>
      <c r="O603" s="1">
        <v>0</v>
      </c>
      <c r="P603" s="1"/>
      <c r="Q603" s="1">
        <v>87.6</v>
      </c>
    </row>
    <row r="604" spans="1:17">
      <c r="A604" s="1" t="s">
        <v>646</v>
      </c>
      <c r="B604" s="4">
        <v>45795</v>
      </c>
      <c r="C604" s="1" t="s">
        <v>1</v>
      </c>
      <c r="D604" s="1" t="s">
        <v>41</v>
      </c>
      <c r="E604" s="1" t="s">
        <v>37</v>
      </c>
      <c r="F604" s="1" t="s">
        <v>42</v>
      </c>
      <c r="G604" s="1" t="s">
        <v>39</v>
      </c>
      <c r="H604" s="1">
        <v>1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f t="shared" si="9"/>
        <v>0</v>
      </c>
      <c r="O604" s="1">
        <v>0</v>
      </c>
      <c r="P604" s="1"/>
      <c r="Q604" s="1">
        <v>30.8</v>
      </c>
    </row>
    <row r="605" spans="1:17">
      <c r="A605" s="1" t="s">
        <v>647</v>
      </c>
      <c r="B605" s="4">
        <v>45794</v>
      </c>
      <c r="C605" s="1" t="s">
        <v>1</v>
      </c>
      <c r="D605" s="1" t="s">
        <v>31</v>
      </c>
      <c r="E605" s="1" t="s">
        <v>37</v>
      </c>
      <c r="F605" s="1" t="s">
        <v>33</v>
      </c>
      <c r="G605" s="1" t="s">
        <v>39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f t="shared" si="9"/>
        <v>0</v>
      </c>
      <c r="O605" s="1">
        <v>0</v>
      </c>
      <c r="P605" s="1"/>
      <c r="Q605" s="1">
        <v>54</v>
      </c>
    </row>
    <row r="606" spans="1:17">
      <c r="A606" s="1" t="s">
        <v>648</v>
      </c>
      <c r="B606" s="4">
        <v>45682</v>
      </c>
      <c r="C606" s="1" t="s">
        <v>1</v>
      </c>
      <c r="D606" s="1" t="s">
        <v>41</v>
      </c>
      <c r="E606" s="1" t="s">
        <v>32</v>
      </c>
      <c r="F606" s="1" t="s">
        <v>52</v>
      </c>
      <c r="G606" s="1" t="s">
        <v>34</v>
      </c>
      <c r="H606" s="1">
        <v>1</v>
      </c>
      <c r="I606" s="1">
        <v>0</v>
      </c>
      <c r="J606" s="1">
        <v>0</v>
      </c>
      <c r="K606" s="1">
        <v>0</v>
      </c>
      <c r="L606" s="1">
        <v>0</v>
      </c>
      <c r="M606" s="1">
        <v>1</v>
      </c>
      <c r="N606" s="1">
        <f t="shared" si="9"/>
        <v>1</v>
      </c>
      <c r="O606" s="1">
        <v>0</v>
      </c>
      <c r="P606" s="1"/>
      <c r="Q606" s="1">
        <v>54.5</v>
      </c>
    </row>
    <row r="607" spans="1:17">
      <c r="A607" s="1" t="s">
        <v>649</v>
      </c>
      <c r="B607" s="4">
        <v>45781</v>
      </c>
      <c r="C607" s="1" t="s">
        <v>1</v>
      </c>
      <c r="D607" s="1" t="s">
        <v>36</v>
      </c>
      <c r="E607" s="1" t="s">
        <v>37</v>
      </c>
      <c r="F607" s="1" t="s">
        <v>42</v>
      </c>
      <c r="G607" s="1" t="s">
        <v>43</v>
      </c>
      <c r="H607" s="1">
        <v>1</v>
      </c>
      <c r="I607" s="1">
        <v>1</v>
      </c>
      <c r="J607" s="1">
        <v>0</v>
      </c>
      <c r="K607" s="1">
        <v>0</v>
      </c>
      <c r="L607" s="1">
        <v>0</v>
      </c>
      <c r="M607" s="1">
        <v>0</v>
      </c>
      <c r="N607" s="1">
        <f t="shared" si="9"/>
        <v>0</v>
      </c>
      <c r="O607" s="1">
        <v>0</v>
      </c>
      <c r="P607" s="1"/>
      <c r="Q607" s="1">
        <v>61.3</v>
      </c>
    </row>
    <row r="608" spans="1:17">
      <c r="A608" s="1" t="s">
        <v>650</v>
      </c>
      <c r="B608" s="4">
        <v>45761</v>
      </c>
      <c r="C608" s="1" t="s">
        <v>1</v>
      </c>
      <c r="D608" s="1" t="s">
        <v>36</v>
      </c>
      <c r="E608" s="1" t="s">
        <v>37</v>
      </c>
      <c r="F608" s="1" t="s">
        <v>38</v>
      </c>
      <c r="G608" s="1" t="s">
        <v>39</v>
      </c>
      <c r="H608" s="1">
        <v>1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f t="shared" si="9"/>
        <v>0</v>
      </c>
      <c r="O608" s="1">
        <v>0</v>
      </c>
      <c r="P608" s="1"/>
      <c r="Q608" s="1">
        <v>62.7</v>
      </c>
    </row>
    <row r="609" spans="1:17">
      <c r="A609" s="1" t="s">
        <v>651</v>
      </c>
      <c r="B609" s="4">
        <v>45765</v>
      </c>
      <c r="C609" s="1" t="s">
        <v>1</v>
      </c>
      <c r="D609" s="1" t="s">
        <v>45</v>
      </c>
      <c r="E609" s="1" t="s">
        <v>37</v>
      </c>
      <c r="F609" s="1" t="s">
        <v>42</v>
      </c>
      <c r="G609" s="1" t="s">
        <v>39</v>
      </c>
      <c r="H609" s="1">
        <v>1</v>
      </c>
      <c r="I609" s="1">
        <v>1</v>
      </c>
      <c r="J609" s="1">
        <v>0</v>
      </c>
      <c r="K609" s="1">
        <v>0</v>
      </c>
      <c r="L609" s="1">
        <v>0</v>
      </c>
      <c r="M609" s="1">
        <v>0</v>
      </c>
      <c r="N609" s="1">
        <f t="shared" si="9"/>
        <v>0</v>
      </c>
      <c r="O609" s="1">
        <v>0</v>
      </c>
      <c r="P609" s="1"/>
      <c r="Q609" s="1">
        <v>43.1</v>
      </c>
    </row>
    <row r="610" spans="1:17">
      <c r="A610" s="1" t="s">
        <v>652</v>
      </c>
      <c r="B610" s="4">
        <v>45712</v>
      </c>
      <c r="C610" s="1" t="s">
        <v>1</v>
      </c>
      <c r="D610" s="1" t="s">
        <v>45</v>
      </c>
      <c r="E610" s="1" t="s">
        <v>32</v>
      </c>
      <c r="F610" s="1" t="s">
        <v>33</v>
      </c>
      <c r="G610" s="1" t="s">
        <v>34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f t="shared" si="9"/>
        <v>0</v>
      </c>
      <c r="O610" s="1">
        <v>0</v>
      </c>
      <c r="P610" s="1"/>
      <c r="Q610" s="1">
        <v>59.9</v>
      </c>
    </row>
    <row r="611" spans="1:17">
      <c r="A611" s="1" t="s">
        <v>653</v>
      </c>
      <c r="B611" s="4">
        <v>45766</v>
      </c>
      <c r="C611" s="1" t="s">
        <v>1</v>
      </c>
      <c r="D611" s="1" t="s">
        <v>31</v>
      </c>
      <c r="E611" s="1" t="s">
        <v>47</v>
      </c>
      <c r="F611" s="1" t="s">
        <v>42</v>
      </c>
      <c r="G611" s="1" t="s">
        <v>39</v>
      </c>
      <c r="H611" s="1">
        <v>1</v>
      </c>
      <c r="I611" s="1">
        <v>1</v>
      </c>
      <c r="J611" s="1">
        <v>1</v>
      </c>
      <c r="K611" s="1">
        <v>0</v>
      </c>
      <c r="L611" s="1">
        <v>0</v>
      </c>
      <c r="M611" s="1">
        <v>0</v>
      </c>
      <c r="N611" s="1">
        <f t="shared" si="9"/>
        <v>0</v>
      </c>
      <c r="O611" s="1">
        <v>0</v>
      </c>
      <c r="P611" s="1"/>
      <c r="Q611" s="1">
        <v>55.7</v>
      </c>
    </row>
    <row r="612" spans="1:17">
      <c r="A612" s="1" t="s">
        <v>654</v>
      </c>
      <c r="B612" s="4">
        <v>45723</v>
      </c>
      <c r="C612" s="1" t="s">
        <v>1</v>
      </c>
      <c r="D612" s="1" t="s">
        <v>45</v>
      </c>
      <c r="E612" s="1" t="s">
        <v>32</v>
      </c>
      <c r="F612" s="1" t="s">
        <v>38</v>
      </c>
      <c r="G612" s="1" t="s">
        <v>34</v>
      </c>
      <c r="H612" s="1">
        <v>1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f t="shared" si="9"/>
        <v>0</v>
      </c>
      <c r="O612" s="1">
        <v>0</v>
      </c>
      <c r="P612" s="1"/>
      <c r="Q612" s="1">
        <v>37.1</v>
      </c>
    </row>
    <row r="613" spans="1:17">
      <c r="A613" s="1" t="s">
        <v>655</v>
      </c>
      <c r="B613" s="4">
        <v>45725</v>
      </c>
      <c r="C613" s="1" t="s">
        <v>1</v>
      </c>
      <c r="D613" s="1" t="s">
        <v>41</v>
      </c>
      <c r="E613" s="1" t="s">
        <v>37</v>
      </c>
      <c r="F613" s="1" t="s">
        <v>38</v>
      </c>
      <c r="G613" s="1" t="s">
        <v>34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1</v>
      </c>
      <c r="N613" s="1">
        <f t="shared" si="9"/>
        <v>1</v>
      </c>
      <c r="O613" s="1">
        <v>0</v>
      </c>
      <c r="P613" s="1"/>
      <c r="Q613" s="1">
        <v>46.7</v>
      </c>
    </row>
    <row r="614" spans="1:17">
      <c r="A614" s="1" t="s">
        <v>656</v>
      </c>
      <c r="B614" s="4">
        <v>45778</v>
      </c>
      <c r="C614" s="1" t="s">
        <v>1</v>
      </c>
      <c r="D614" s="1" t="s">
        <v>45</v>
      </c>
      <c r="E614" s="1" t="s">
        <v>32</v>
      </c>
      <c r="F614" s="1" t="s">
        <v>38</v>
      </c>
      <c r="G614" s="1" t="s">
        <v>34</v>
      </c>
      <c r="H614" s="1">
        <v>1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f t="shared" si="9"/>
        <v>0</v>
      </c>
      <c r="O614" s="1">
        <v>0</v>
      </c>
      <c r="P614" s="1"/>
      <c r="Q614" s="1">
        <v>54.1</v>
      </c>
    </row>
    <row r="615" spans="1:17">
      <c r="A615" s="1" t="s">
        <v>657</v>
      </c>
      <c r="B615" s="4">
        <v>45697</v>
      </c>
      <c r="C615" s="1" t="s">
        <v>1</v>
      </c>
      <c r="D615" s="1" t="s">
        <v>36</v>
      </c>
      <c r="E615" s="1" t="s">
        <v>32</v>
      </c>
      <c r="F615" s="1" t="s">
        <v>38</v>
      </c>
      <c r="G615" s="1" t="s">
        <v>43</v>
      </c>
      <c r="H615" s="1">
        <v>1</v>
      </c>
      <c r="I615" s="1">
        <v>1</v>
      </c>
      <c r="J615" s="1">
        <v>1</v>
      </c>
      <c r="K615" s="1">
        <v>0</v>
      </c>
      <c r="L615" s="1">
        <v>0</v>
      </c>
      <c r="M615" s="1">
        <v>0</v>
      </c>
      <c r="N615" s="1">
        <f t="shared" si="9"/>
        <v>0</v>
      </c>
      <c r="O615" s="1">
        <v>0</v>
      </c>
      <c r="P615" s="1"/>
      <c r="Q615" s="1">
        <v>56.1</v>
      </c>
    </row>
    <row r="616" spans="1:17">
      <c r="A616" s="1" t="s">
        <v>658</v>
      </c>
      <c r="B616" s="4">
        <v>45799</v>
      </c>
      <c r="C616" s="1" t="s">
        <v>1</v>
      </c>
      <c r="D616" s="1" t="s">
        <v>36</v>
      </c>
      <c r="E616" s="1" t="s">
        <v>37</v>
      </c>
      <c r="F616" s="1" t="s">
        <v>52</v>
      </c>
      <c r="G616" s="1" t="s">
        <v>43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f t="shared" si="9"/>
        <v>0</v>
      </c>
      <c r="O616" s="1">
        <v>0</v>
      </c>
      <c r="P616" s="1"/>
      <c r="Q616" s="1">
        <v>23.6</v>
      </c>
    </row>
    <row r="617" spans="1:17">
      <c r="A617" s="1" t="s">
        <v>659</v>
      </c>
      <c r="B617" s="4">
        <v>45699</v>
      </c>
      <c r="C617" s="1" t="s">
        <v>1</v>
      </c>
      <c r="D617" s="1" t="s">
        <v>31</v>
      </c>
      <c r="E617" s="1" t="s">
        <v>37</v>
      </c>
      <c r="F617" s="1" t="s">
        <v>38</v>
      </c>
      <c r="G617" s="1" t="s">
        <v>43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f t="shared" si="9"/>
        <v>0</v>
      </c>
      <c r="O617" s="1">
        <v>0</v>
      </c>
      <c r="P617" s="1"/>
      <c r="Q617" s="1">
        <v>54.7</v>
      </c>
    </row>
    <row r="618" spans="1:17">
      <c r="A618" s="1" t="s">
        <v>660</v>
      </c>
      <c r="B618" s="4">
        <v>45759</v>
      </c>
      <c r="C618" s="1" t="s">
        <v>1</v>
      </c>
      <c r="D618" s="1" t="s">
        <v>31</v>
      </c>
      <c r="E618" s="1" t="s">
        <v>37</v>
      </c>
      <c r="F618" s="1" t="s">
        <v>52</v>
      </c>
      <c r="G618" s="1" t="s">
        <v>34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2</v>
      </c>
      <c r="N618" s="1">
        <f t="shared" si="9"/>
        <v>1</v>
      </c>
      <c r="O618" s="1">
        <v>0</v>
      </c>
      <c r="P618" s="1"/>
      <c r="Q618" s="1">
        <v>50.4</v>
      </c>
    </row>
    <row r="619" spans="1:17">
      <c r="A619" s="1" t="s">
        <v>661</v>
      </c>
      <c r="B619" s="4">
        <v>45717</v>
      </c>
      <c r="C619" s="1" t="s">
        <v>1</v>
      </c>
      <c r="D619" s="1" t="s">
        <v>36</v>
      </c>
      <c r="E619" s="1" t="s">
        <v>37</v>
      </c>
      <c r="F619" s="1" t="s">
        <v>54</v>
      </c>
      <c r="G619" s="1" t="s">
        <v>39</v>
      </c>
      <c r="H619" s="1">
        <v>1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f t="shared" si="9"/>
        <v>0</v>
      </c>
      <c r="O619" s="1">
        <v>0</v>
      </c>
      <c r="P619" s="1"/>
      <c r="Q619" s="1">
        <v>54.5</v>
      </c>
    </row>
    <row r="620" spans="1:17">
      <c r="A620" s="1" t="s">
        <v>662</v>
      </c>
      <c r="B620" s="4">
        <v>45733</v>
      </c>
      <c r="C620" s="1" t="s">
        <v>1</v>
      </c>
      <c r="D620" s="1" t="s">
        <v>36</v>
      </c>
      <c r="E620" s="1" t="s">
        <v>32</v>
      </c>
      <c r="F620" s="1" t="s">
        <v>33</v>
      </c>
      <c r="G620" s="1" t="s">
        <v>34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f t="shared" si="9"/>
        <v>0</v>
      </c>
      <c r="O620" s="1">
        <v>0</v>
      </c>
      <c r="P620" s="1"/>
      <c r="Q620" s="1">
        <v>58</v>
      </c>
    </row>
    <row r="621" spans="1:17">
      <c r="A621" s="1" t="s">
        <v>663</v>
      </c>
      <c r="B621" s="4">
        <v>45668</v>
      </c>
      <c r="C621" s="1" t="s">
        <v>1</v>
      </c>
      <c r="D621" s="1" t="s">
        <v>31</v>
      </c>
      <c r="E621" s="1" t="s">
        <v>37</v>
      </c>
      <c r="F621" s="1" t="s">
        <v>42</v>
      </c>
      <c r="G621" s="1" t="s">
        <v>39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f t="shared" si="9"/>
        <v>0</v>
      </c>
      <c r="O621" s="1">
        <v>0</v>
      </c>
      <c r="P621" s="1"/>
      <c r="Q621" s="1">
        <v>42.9</v>
      </c>
    </row>
    <row r="622" spans="1:17">
      <c r="A622" s="1" t="s">
        <v>664</v>
      </c>
      <c r="B622" s="4">
        <v>45705</v>
      </c>
      <c r="C622" s="1" t="s">
        <v>1</v>
      </c>
      <c r="D622" s="1" t="s">
        <v>45</v>
      </c>
      <c r="E622" s="1" t="s">
        <v>37</v>
      </c>
      <c r="F622" s="1" t="s">
        <v>54</v>
      </c>
      <c r="G622" s="1" t="s">
        <v>43</v>
      </c>
      <c r="H622" s="1">
        <v>1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f t="shared" si="9"/>
        <v>0</v>
      </c>
      <c r="O622" s="1">
        <v>0</v>
      </c>
      <c r="P622" s="1"/>
      <c r="Q622" s="1">
        <v>51.1</v>
      </c>
    </row>
    <row r="623" spans="1:17">
      <c r="A623" s="1" t="s">
        <v>665</v>
      </c>
      <c r="B623" s="4">
        <v>45741</v>
      </c>
      <c r="C623" s="1" t="s">
        <v>1</v>
      </c>
      <c r="D623" s="1" t="s">
        <v>41</v>
      </c>
      <c r="E623" s="1" t="s">
        <v>37</v>
      </c>
      <c r="F623" s="1" t="s">
        <v>42</v>
      </c>
      <c r="G623" s="1" t="s">
        <v>34</v>
      </c>
      <c r="H623" s="1">
        <v>1</v>
      </c>
      <c r="I623" s="1">
        <v>1</v>
      </c>
      <c r="J623" s="1">
        <v>0</v>
      </c>
      <c r="K623" s="1">
        <v>0</v>
      </c>
      <c r="L623" s="1">
        <v>0</v>
      </c>
      <c r="M623" s="1">
        <v>0</v>
      </c>
      <c r="N623" s="1">
        <f t="shared" si="9"/>
        <v>0</v>
      </c>
      <c r="O623" s="1">
        <v>0</v>
      </c>
      <c r="P623" s="1"/>
      <c r="Q623" s="1">
        <v>51.8</v>
      </c>
    </row>
    <row r="624" spans="1:17">
      <c r="A624" s="1" t="s">
        <v>666</v>
      </c>
      <c r="B624" s="4">
        <v>45778</v>
      </c>
      <c r="C624" s="1" t="s">
        <v>1</v>
      </c>
      <c r="D624" s="1" t="s">
        <v>45</v>
      </c>
      <c r="E624" s="1" t="s">
        <v>37</v>
      </c>
      <c r="F624" s="1" t="s">
        <v>42</v>
      </c>
      <c r="G624" s="1" t="s">
        <v>39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f t="shared" si="9"/>
        <v>0</v>
      </c>
      <c r="O624" s="1">
        <v>0</v>
      </c>
      <c r="P624" s="1"/>
      <c r="Q624" s="1">
        <v>67.7</v>
      </c>
    </row>
    <row r="625" spans="1:17">
      <c r="A625" s="1" t="s">
        <v>667</v>
      </c>
      <c r="B625" s="4">
        <v>45749</v>
      </c>
      <c r="C625" s="1" t="s">
        <v>1</v>
      </c>
      <c r="D625" s="1" t="s">
        <v>41</v>
      </c>
      <c r="E625" s="1" t="s">
        <v>37</v>
      </c>
      <c r="F625" s="1" t="s">
        <v>38</v>
      </c>
      <c r="G625" s="1" t="s">
        <v>34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f t="shared" si="9"/>
        <v>0</v>
      </c>
      <c r="O625" s="1">
        <v>0</v>
      </c>
      <c r="P625" s="1"/>
      <c r="Q625" s="1">
        <v>75.8</v>
      </c>
    </row>
    <row r="626" spans="1:17">
      <c r="A626" s="1" t="s">
        <v>668</v>
      </c>
      <c r="B626" s="4">
        <v>45752</v>
      </c>
      <c r="C626" s="1" t="s">
        <v>1</v>
      </c>
      <c r="D626" s="1" t="s">
        <v>41</v>
      </c>
      <c r="E626" s="1" t="s">
        <v>37</v>
      </c>
      <c r="F626" s="1" t="s">
        <v>33</v>
      </c>
      <c r="G626" s="1" t="s">
        <v>39</v>
      </c>
      <c r="H626" s="1">
        <v>1</v>
      </c>
      <c r="I626" s="1">
        <v>1</v>
      </c>
      <c r="J626" s="1">
        <v>0</v>
      </c>
      <c r="K626" s="1">
        <v>0</v>
      </c>
      <c r="L626" s="1">
        <v>0</v>
      </c>
      <c r="M626" s="1">
        <v>0</v>
      </c>
      <c r="N626" s="1">
        <f t="shared" si="9"/>
        <v>0</v>
      </c>
      <c r="O626" s="1">
        <v>0</v>
      </c>
      <c r="P626" s="1"/>
      <c r="Q626" s="1">
        <v>72.8</v>
      </c>
    </row>
    <row r="627" spans="1:17">
      <c r="A627" s="1" t="s">
        <v>669</v>
      </c>
      <c r="B627" s="4">
        <v>45712</v>
      </c>
      <c r="C627" s="1" t="s">
        <v>1</v>
      </c>
      <c r="D627" s="1" t="s">
        <v>31</v>
      </c>
      <c r="E627" s="1" t="s">
        <v>32</v>
      </c>
      <c r="F627" s="1" t="s">
        <v>54</v>
      </c>
      <c r="G627" s="1" t="s">
        <v>39</v>
      </c>
      <c r="H627" s="1">
        <v>1</v>
      </c>
      <c r="I627" s="1">
        <v>1</v>
      </c>
      <c r="J627" s="1">
        <v>0</v>
      </c>
      <c r="K627" s="1">
        <v>0</v>
      </c>
      <c r="L627" s="1">
        <v>0</v>
      </c>
      <c r="M627" s="1">
        <v>0</v>
      </c>
      <c r="N627" s="1">
        <f t="shared" si="9"/>
        <v>0</v>
      </c>
      <c r="O627" s="1">
        <v>0</v>
      </c>
      <c r="P627" s="1"/>
      <c r="Q627" s="1">
        <v>54.4</v>
      </c>
    </row>
    <row r="628" spans="1:17">
      <c r="A628" s="1" t="s">
        <v>670</v>
      </c>
      <c r="B628" s="4">
        <v>45681</v>
      </c>
      <c r="C628" s="1" t="s">
        <v>1</v>
      </c>
      <c r="D628" s="1" t="s">
        <v>36</v>
      </c>
      <c r="E628" s="1" t="s">
        <v>37</v>
      </c>
      <c r="F628" s="1" t="s">
        <v>42</v>
      </c>
      <c r="G628" s="1" t="s">
        <v>34</v>
      </c>
      <c r="H628" s="1">
        <v>1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f t="shared" si="9"/>
        <v>0</v>
      </c>
      <c r="O628" s="1">
        <v>0</v>
      </c>
      <c r="P628" s="1"/>
      <c r="Q628" s="1">
        <v>51.8</v>
      </c>
    </row>
    <row r="629" spans="1:17">
      <c r="A629" s="1" t="s">
        <v>671</v>
      </c>
      <c r="B629" s="4">
        <v>45757</v>
      </c>
      <c r="C629" s="1" t="s">
        <v>1</v>
      </c>
      <c r="D629" s="1" t="s">
        <v>45</v>
      </c>
      <c r="E629" s="1" t="s">
        <v>37</v>
      </c>
      <c r="F629" s="1" t="s">
        <v>42</v>
      </c>
      <c r="G629" s="1" t="s">
        <v>39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f t="shared" si="9"/>
        <v>0</v>
      </c>
      <c r="O629" s="1">
        <v>0</v>
      </c>
      <c r="P629" s="1"/>
      <c r="Q629" s="1">
        <v>40.299999999999997</v>
      </c>
    </row>
    <row r="630" spans="1:17">
      <c r="A630" s="1" t="s">
        <v>672</v>
      </c>
      <c r="B630" s="4">
        <v>45707</v>
      </c>
      <c r="C630" s="1" t="s">
        <v>1</v>
      </c>
      <c r="D630" s="1" t="s">
        <v>45</v>
      </c>
      <c r="E630" s="1" t="s">
        <v>37</v>
      </c>
      <c r="F630" s="1" t="s">
        <v>52</v>
      </c>
      <c r="G630" s="1" t="s">
        <v>39</v>
      </c>
      <c r="H630" s="1">
        <v>1</v>
      </c>
      <c r="I630" s="1">
        <v>1</v>
      </c>
      <c r="J630" s="1">
        <v>1</v>
      </c>
      <c r="K630" s="1">
        <v>0</v>
      </c>
      <c r="L630" s="1">
        <v>0</v>
      </c>
      <c r="M630" s="1">
        <v>0</v>
      </c>
      <c r="N630" s="1">
        <f t="shared" si="9"/>
        <v>0</v>
      </c>
      <c r="O630" s="1">
        <v>0</v>
      </c>
      <c r="P630" s="1"/>
      <c r="Q630" s="1">
        <v>61.7</v>
      </c>
    </row>
    <row r="631" spans="1:17">
      <c r="A631" s="1" t="s">
        <v>673</v>
      </c>
      <c r="B631" s="4">
        <v>45738</v>
      </c>
      <c r="C631" s="1" t="s">
        <v>1</v>
      </c>
      <c r="D631" s="1" t="s">
        <v>31</v>
      </c>
      <c r="E631" s="1" t="s">
        <v>37</v>
      </c>
      <c r="F631" s="1" t="s">
        <v>54</v>
      </c>
      <c r="G631" s="1" t="s">
        <v>39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f t="shared" si="9"/>
        <v>0</v>
      </c>
      <c r="O631" s="1">
        <v>0</v>
      </c>
      <c r="P631" s="1"/>
      <c r="Q631" s="1">
        <v>45</v>
      </c>
    </row>
    <row r="632" spans="1:17">
      <c r="A632" s="1" t="s">
        <v>674</v>
      </c>
      <c r="B632" s="4">
        <v>45755</v>
      </c>
      <c r="C632" s="1" t="s">
        <v>1</v>
      </c>
      <c r="D632" s="1" t="s">
        <v>41</v>
      </c>
      <c r="E632" s="1" t="s">
        <v>32</v>
      </c>
      <c r="F632" s="1" t="s">
        <v>38</v>
      </c>
      <c r="G632" s="1" t="s">
        <v>43</v>
      </c>
      <c r="H632" s="1">
        <v>1</v>
      </c>
      <c r="I632" s="1">
        <v>1</v>
      </c>
      <c r="J632" s="1">
        <v>1</v>
      </c>
      <c r="K632" s="1">
        <v>0</v>
      </c>
      <c r="L632" s="1">
        <v>0</v>
      </c>
      <c r="M632" s="1">
        <v>0</v>
      </c>
      <c r="N632" s="1">
        <f t="shared" si="9"/>
        <v>0</v>
      </c>
      <c r="O632" s="1">
        <v>0</v>
      </c>
      <c r="P632" s="1"/>
      <c r="Q632" s="1">
        <v>60</v>
      </c>
    </row>
    <row r="633" spans="1:17">
      <c r="A633" s="1" t="s">
        <v>675</v>
      </c>
      <c r="B633" s="4">
        <v>45732</v>
      </c>
      <c r="C633" s="1" t="s">
        <v>1</v>
      </c>
      <c r="D633" s="1" t="s">
        <v>31</v>
      </c>
      <c r="E633" s="1" t="s">
        <v>37</v>
      </c>
      <c r="F633" s="1" t="s">
        <v>54</v>
      </c>
      <c r="G633" s="1" t="s">
        <v>39</v>
      </c>
      <c r="H633" s="1">
        <v>1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f t="shared" si="9"/>
        <v>0</v>
      </c>
      <c r="O633" s="1">
        <v>0</v>
      </c>
      <c r="P633" s="1"/>
      <c r="Q633" s="1"/>
    </row>
    <row r="634" spans="1:17">
      <c r="A634" s="1" t="s">
        <v>676</v>
      </c>
      <c r="B634" s="4">
        <v>45723</v>
      </c>
      <c r="C634" s="1" t="s">
        <v>1</v>
      </c>
      <c r="D634" s="1" t="s">
        <v>41</v>
      </c>
      <c r="E634" s="1" t="s">
        <v>37</v>
      </c>
      <c r="F634" s="1" t="s">
        <v>42</v>
      </c>
      <c r="G634" s="1" t="s">
        <v>39</v>
      </c>
      <c r="H634" s="1">
        <v>1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f t="shared" si="9"/>
        <v>0</v>
      </c>
      <c r="O634" s="1">
        <v>0</v>
      </c>
      <c r="P634" s="1"/>
      <c r="Q634" s="1">
        <v>55.5</v>
      </c>
    </row>
    <row r="635" spans="1:17">
      <c r="A635" s="1" t="s">
        <v>677</v>
      </c>
      <c r="B635" s="4">
        <v>45732</v>
      </c>
      <c r="C635" s="1" t="s">
        <v>1</v>
      </c>
      <c r="D635" s="1" t="s">
        <v>45</v>
      </c>
      <c r="E635" s="1" t="s">
        <v>37</v>
      </c>
      <c r="F635" s="1" t="s">
        <v>52</v>
      </c>
      <c r="G635" s="1" t="s">
        <v>34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f t="shared" si="9"/>
        <v>0</v>
      </c>
      <c r="O635" s="1">
        <v>0</v>
      </c>
      <c r="P635" s="1"/>
      <c r="Q635" s="1">
        <v>51.8</v>
      </c>
    </row>
    <row r="636" spans="1:17">
      <c r="A636" s="1" t="s">
        <v>678</v>
      </c>
      <c r="B636" s="4">
        <v>45803</v>
      </c>
      <c r="C636" s="1" t="s">
        <v>1</v>
      </c>
      <c r="D636" s="1" t="s">
        <v>41</v>
      </c>
      <c r="E636" s="1" t="s">
        <v>37</v>
      </c>
      <c r="F636" s="1"/>
      <c r="G636" s="1" t="s">
        <v>43</v>
      </c>
      <c r="H636" s="1">
        <v>1</v>
      </c>
      <c r="I636" s="1">
        <v>0</v>
      </c>
      <c r="J636" s="1">
        <v>0</v>
      </c>
      <c r="K636" s="1">
        <v>0</v>
      </c>
      <c r="L636" s="1">
        <v>0</v>
      </c>
      <c r="M636" s="1">
        <v>3</v>
      </c>
      <c r="N636" s="1">
        <f t="shared" si="9"/>
        <v>1</v>
      </c>
      <c r="O636" s="1">
        <v>0</v>
      </c>
      <c r="P636" s="1"/>
      <c r="Q636" s="1">
        <v>56</v>
      </c>
    </row>
    <row r="637" spans="1:17">
      <c r="A637" s="1" t="s">
        <v>679</v>
      </c>
      <c r="B637" s="4">
        <v>45671</v>
      </c>
      <c r="C637" s="1" t="s">
        <v>1</v>
      </c>
      <c r="D637" s="1" t="s">
        <v>36</v>
      </c>
      <c r="E637" s="1" t="s">
        <v>37</v>
      </c>
      <c r="F637" s="1" t="s">
        <v>38</v>
      </c>
      <c r="G637" s="1" t="s">
        <v>39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f t="shared" si="9"/>
        <v>0</v>
      </c>
      <c r="O637" s="1">
        <v>0</v>
      </c>
      <c r="P637" s="1"/>
      <c r="Q637" s="1">
        <v>52.5</v>
      </c>
    </row>
    <row r="638" spans="1:17">
      <c r="A638" s="1" t="s">
        <v>680</v>
      </c>
      <c r="B638" s="4">
        <v>45746</v>
      </c>
      <c r="C638" s="1" t="s">
        <v>1</v>
      </c>
      <c r="D638" s="1" t="s">
        <v>36</v>
      </c>
      <c r="E638" s="1" t="s">
        <v>37</v>
      </c>
      <c r="F638" s="1" t="s">
        <v>42</v>
      </c>
      <c r="G638" s="1" t="s">
        <v>43</v>
      </c>
      <c r="H638" s="1">
        <v>1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f t="shared" si="9"/>
        <v>0</v>
      </c>
      <c r="O638" s="1">
        <v>0</v>
      </c>
      <c r="P638" s="1"/>
      <c r="Q638" s="1">
        <v>42.5</v>
      </c>
    </row>
    <row r="639" spans="1:17">
      <c r="A639" s="1" t="s">
        <v>681</v>
      </c>
      <c r="B639" s="4">
        <v>45789</v>
      </c>
      <c r="C639" s="1" t="s">
        <v>1</v>
      </c>
      <c r="D639" s="1" t="s">
        <v>41</v>
      </c>
      <c r="E639" s="1" t="s">
        <v>32</v>
      </c>
      <c r="F639" s="1" t="s">
        <v>33</v>
      </c>
      <c r="G639" s="1" t="s">
        <v>39</v>
      </c>
      <c r="H639" s="1">
        <v>1</v>
      </c>
      <c r="I639" s="1">
        <v>1</v>
      </c>
      <c r="J639" s="1">
        <v>1</v>
      </c>
      <c r="K639" s="1">
        <v>0</v>
      </c>
      <c r="L639" s="1">
        <v>0</v>
      </c>
      <c r="M639" s="1">
        <v>0</v>
      </c>
      <c r="N639" s="1">
        <f t="shared" si="9"/>
        <v>0</v>
      </c>
      <c r="O639" s="1">
        <v>0</v>
      </c>
      <c r="P639" s="1"/>
      <c r="Q639" s="1">
        <v>65.3</v>
      </c>
    </row>
    <row r="640" spans="1:17">
      <c r="A640" s="1" t="s">
        <v>682</v>
      </c>
      <c r="B640" s="4">
        <v>45787</v>
      </c>
      <c r="C640" s="1" t="s">
        <v>1</v>
      </c>
      <c r="D640" s="1" t="s">
        <v>36</v>
      </c>
      <c r="E640" s="1" t="s">
        <v>37</v>
      </c>
      <c r="F640" s="1" t="s">
        <v>42</v>
      </c>
      <c r="G640" s="1" t="s">
        <v>39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f t="shared" si="9"/>
        <v>0</v>
      </c>
      <c r="O640" s="1">
        <v>0</v>
      </c>
      <c r="P640" s="1"/>
      <c r="Q640" s="1">
        <v>37.6</v>
      </c>
    </row>
    <row r="641" spans="1:17">
      <c r="A641" s="1" t="s">
        <v>683</v>
      </c>
      <c r="B641" s="4">
        <v>45756</v>
      </c>
      <c r="C641" s="1" t="s">
        <v>1</v>
      </c>
      <c r="D641" s="1" t="s">
        <v>41</v>
      </c>
      <c r="E641" s="1" t="s">
        <v>37</v>
      </c>
      <c r="F641" s="1" t="s">
        <v>54</v>
      </c>
      <c r="G641" s="1" t="s">
        <v>34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f t="shared" si="9"/>
        <v>0</v>
      </c>
      <c r="O641" s="1">
        <v>0</v>
      </c>
      <c r="P641" s="1"/>
      <c r="Q641" s="1">
        <v>57.8</v>
      </c>
    </row>
    <row r="642" spans="1:17">
      <c r="A642" s="1" t="s">
        <v>684</v>
      </c>
      <c r="B642" s="4">
        <v>45803</v>
      </c>
      <c r="C642" s="1" t="s">
        <v>1</v>
      </c>
      <c r="D642" s="1" t="s">
        <v>31</v>
      </c>
      <c r="E642" s="1" t="s">
        <v>37</v>
      </c>
      <c r="F642" s="1" t="s">
        <v>54</v>
      </c>
      <c r="G642" s="1" t="s">
        <v>39</v>
      </c>
      <c r="H642" s="1">
        <v>1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f t="shared" si="9"/>
        <v>0</v>
      </c>
      <c r="O642" s="1">
        <v>0</v>
      </c>
      <c r="P642" s="1"/>
      <c r="Q642" s="1">
        <v>52.7</v>
      </c>
    </row>
    <row r="643" spans="1:17">
      <c r="A643" s="1" t="s">
        <v>685</v>
      </c>
      <c r="B643" s="4">
        <v>45700</v>
      </c>
      <c r="C643" s="1" t="s">
        <v>1</v>
      </c>
      <c r="D643" s="1" t="s">
        <v>31</v>
      </c>
      <c r="E643" s="1" t="s">
        <v>37</v>
      </c>
      <c r="F643" s="1" t="s">
        <v>38</v>
      </c>
      <c r="G643" s="1" t="s">
        <v>39</v>
      </c>
      <c r="H643" s="1">
        <v>1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f t="shared" ref="N643:N706" si="10">IF(M643&gt;0,1,0)</f>
        <v>0</v>
      </c>
      <c r="O643" s="1">
        <v>0</v>
      </c>
      <c r="P643" s="1"/>
      <c r="Q643" s="1">
        <v>51.7</v>
      </c>
    </row>
    <row r="644" spans="1:17">
      <c r="A644" s="1" t="s">
        <v>686</v>
      </c>
      <c r="B644" s="4">
        <v>45748</v>
      </c>
      <c r="C644" s="1" t="s">
        <v>1</v>
      </c>
      <c r="D644" s="1" t="s">
        <v>31</v>
      </c>
      <c r="E644" s="1" t="s">
        <v>32</v>
      </c>
      <c r="F644" s="1" t="s">
        <v>33</v>
      </c>
      <c r="G644" s="1" t="s">
        <v>34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f t="shared" si="10"/>
        <v>0</v>
      </c>
      <c r="O644" s="1">
        <v>0</v>
      </c>
      <c r="P644" s="1"/>
      <c r="Q644" s="1">
        <v>57</v>
      </c>
    </row>
    <row r="645" spans="1:17">
      <c r="A645" s="1" t="s">
        <v>687</v>
      </c>
      <c r="B645" s="4">
        <v>45675</v>
      </c>
      <c r="C645" s="1" t="s">
        <v>1</v>
      </c>
      <c r="D645" s="1" t="s">
        <v>45</v>
      </c>
      <c r="E645" s="1" t="s">
        <v>32</v>
      </c>
      <c r="F645" s="1" t="s">
        <v>38</v>
      </c>
      <c r="G645" s="1" t="s">
        <v>34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f t="shared" si="10"/>
        <v>0</v>
      </c>
      <c r="O645" s="1">
        <v>0</v>
      </c>
      <c r="P645" s="1"/>
      <c r="Q645" s="1">
        <v>39.5</v>
      </c>
    </row>
    <row r="646" spans="1:17">
      <c r="A646" s="1" t="s">
        <v>688</v>
      </c>
      <c r="B646" s="4">
        <v>45753</v>
      </c>
      <c r="C646" s="1" t="s">
        <v>1</v>
      </c>
      <c r="D646" s="1" t="s">
        <v>41</v>
      </c>
      <c r="E646" s="1" t="s">
        <v>47</v>
      </c>
      <c r="F646" s="1" t="s">
        <v>38</v>
      </c>
      <c r="G646" s="1" t="s">
        <v>39</v>
      </c>
      <c r="H646" s="1">
        <v>1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f t="shared" si="10"/>
        <v>0</v>
      </c>
      <c r="O646" s="1">
        <v>0</v>
      </c>
      <c r="P646" s="1"/>
      <c r="Q646" s="1">
        <v>76.5</v>
      </c>
    </row>
    <row r="647" spans="1:17">
      <c r="A647" s="1" t="s">
        <v>689</v>
      </c>
      <c r="B647" s="4">
        <v>45764</v>
      </c>
      <c r="C647" s="1" t="s">
        <v>1</v>
      </c>
      <c r="D647" s="1" t="s">
        <v>41</v>
      </c>
      <c r="E647" s="1" t="s">
        <v>37</v>
      </c>
      <c r="F647" s="1" t="s">
        <v>38</v>
      </c>
      <c r="G647" s="1" t="s">
        <v>39</v>
      </c>
      <c r="H647" s="1">
        <v>1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f t="shared" si="10"/>
        <v>0</v>
      </c>
      <c r="O647" s="1">
        <v>0</v>
      </c>
      <c r="P647" s="1"/>
      <c r="Q647" s="1">
        <v>32.4</v>
      </c>
    </row>
    <row r="648" spans="1:17">
      <c r="A648" s="1" t="s">
        <v>690</v>
      </c>
      <c r="B648" s="4">
        <v>45695</v>
      </c>
      <c r="C648" s="1" t="s">
        <v>1</v>
      </c>
      <c r="D648" s="1" t="s">
        <v>31</v>
      </c>
      <c r="E648" s="1" t="s">
        <v>32</v>
      </c>
      <c r="F648" s="1" t="s">
        <v>42</v>
      </c>
      <c r="G648" s="1" t="s">
        <v>39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f t="shared" si="10"/>
        <v>0</v>
      </c>
      <c r="O648" s="1">
        <v>0</v>
      </c>
      <c r="P648" s="1"/>
      <c r="Q648" s="1">
        <v>58.6</v>
      </c>
    </row>
    <row r="649" spans="1:17">
      <c r="A649" s="1" t="s">
        <v>691</v>
      </c>
      <c r="B649" s="4">
        <v>45720</v>
      </c>
      <c r="C649" s="1" t="s">
        <v>1</v>
      </c>
      <c r="D649" s="1" t="s">
        <v>41</v>
      </c>
      <c r="E649" s="1" t="s">
        <v>37</v>
      </c>
      <c r="F649" s="1" t="s">
        <v>38</v>
      </c>
      <c r="G649" s="1" t="s">
        <v>34</v>
      </c>
      <c r="H649" s="1">
        <v>1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f t="shared" si="10"/>
        <v>0</v>
      </c>
      <c r="O649" s="1">
        <v>0</v>
      </c>
      <c r="P649" s="1"/>
      <c r="Q649" s="1">
        <v>78.599999999999994</v>
      </c>
    </row>
    <row r="650" spans="1:17">
      <c r="A650" s="1" t="s">
        <v>692</v>
      </c>
      <c r="B650" s="4">
        <v>45705</v>
      </c>
      <c r="C650" s="1" t="s">
        <v>1</v>
      </c>
      <c r="D650" s="1" t="s">
        <v>31</v>
      </c>
      <c r="E650" s="1" t="s">
        <v>32</v>
      </c>
      <c r="F650" s="1" t="s">
        <v>38</v>
      </c>
      <c r="G650" s="1" t="s">
        <v>43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f t="shared" si="10"/>
        <v>0</v>
      </c>
      <c r="O650" s="1">
        <v>0</v>
      </c>
      <c r="P650" s="1"/>
      <c r="Q650" s="1">
        <v>54.5</v>
      </c>
    </row>
    <row r="651" spans="1:17">
      <c r="A651" s="1" t="s">
        <v>693</v>
      </c>
      <c r="B651" s="4">
        <v>45783</v>
      </c>
      <c r="C651" s="1" t="s">
        <v>1</v>
      </c>
      <c r="D651" s="1" t="s">
        <v>45</v>
      </c>
      <c r="E651" s="1" t="s">
        <v>37</v>
      </c>
      <c r="F651" s="1" t="s">
        <v>52</v>
      </c>
      <c r="G651" s="1" t="s">
        <v>39</v>
      </c>
      <c r="H651" s="1">
        <v>1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f t="shared" si="10"/>
        <v>0</v>
      </c>
      <c r="O651" s="1">
        <v>0</v>
      </c>
      <c r="P651" s="1"/>
      <c r="Q651" s="1">
        <v>57.6</v>
      </c>
    </row>
    <row r="652" spans="1:17">
      <c r="A652" s="1" t="s">
        <v>694</v>
      </c>
      <c r="B652" s="4">
        <v>45741</v>
      </c>
      <c r="C652" s="1" t="s">
        <v>1</v>
      </c>
      <c r="D652" s="1" t="s">
        <v>45</v>
      </c>
      <c r="E652" s="1" t="s">
        <v>37</v>
      </c>
      <c r="F652" s="1" t="s">
        <v>52</v>
      </c>
      <c r="G652" s="1" t="s">
        <v>43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f t="shared" si="10"/>
        <v>0</v>
      </c>
      <c r="O652" s="1">
        <v>0</v>
      </c>
      <c r="P652" s="1"/>
      <c r="Q652" s="1">
        <v>52.8</v>
      </c>
    </row>
    <row r="653" spans="1:17">
      <c r="A653" s="1" t="s">
        <v>695</v>
      </c>
      <c r="B653" s="4">
        <v>45720</v>
      </c>
      <c r="C653" s="1" t="s">
        <v>1</v>
      </c>
      <c r="D653" s="1" t="s">
        <v>36</v>
      </c>
      <c r="E653" s="1" t="s">
        <v>37</v>
      </c>
      <c r="F653" s="1" t="s">
        <v>33</v>
      </c>
      <c r="G653" s="1" t="s">
        <v>43</v>
      </c>
      <c r="H653" s="1">
        <v>1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f t="shared" si="10"/>
        <v>0</v>
      </c>
      <c r="O653" s="1">
        <v>0</v>
      </c>
      <c r="P653" s="1"/>
      <c r="Q653" s="1">
        <v>52.9</v>
      </c>
    </row>
    <row r="654" spans="1:17">
      <c r="A654" s="1" t="s">
        <v>696</v>
      </c>
      <c r="B654" s="4">
        <v>45786</v>
      </c>
      <c r="C654" s="1" t="s">
        <v>1</v>
      </c>
      <c r="D654" s="1" t="s">
        <v>36</v>
      </c>
      <c r="E654" s="1" t="s">
        <v>37</v>
      </c>
      <c r="F654" s="1" t="s">
        <v>38</v>
      </c>
      <c r="G654" s="1" t="s">
        <v>39</v>
      </c>
      <c r="H654" s="1">
        <v>1</v>
      </c>
      <c r="I654" s="1">
        <v>0</v>
      </c>
      <c r="J654" s="1">
        <v>0</v>
      </c>
      <c r="K654" s="1">
        <v>0</v>
      </c>
      <c r="L654" s="1">
        <v>0</v>
      </c>
      <c r="M654" s="1">
        <v>1</v>
      </c>
      <c r="N654" s="1">
        <f t="shared" si="10"/>
        <v>1</v>
      </c>
      <c r="O654" s="1">
        <v>0</v>
      </c>
      <c r="P654" s="1"/>
      <c r="Q654" s="1">
        <v>55.9</v>
      </c>
    </row>
    <row r="655" spans="1:17">
      <c r="A655" s="1" t="s">
        <v>697</v>
      </c>
      <c r="B655" s="4">
        <v>45794</v>
      </c>
      <c r="C655" s="1" t="s">
        <v>1</v>
      </c>
      <c r="D655" s="1" t="s">
        <v>36</v>
      </c>
      <c r="E655" s="1" t="s">
        <v>37</v>
      </c>
      <c r="F655" s="1" t="s">
        <v>52</v>
      </c>
      <c r="G655" s="1" t="s">
        <v>43</v>
      </c>
      <c r="H655" s="1">
        <v>1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f t="shared" si="10"/>
        <v>0</v>
      </c>
      <c r="O655" s="1">
        <v>0</v>
      </c>
      <c r="P655" s="1"/>
      <c r="Q655" s="1">
        <v>74.2</v>
      </c>
    </row>
    <row r="656" spans="1:17">
      <c r="A656" s="1" t="s">
        <v>698</v>
      </c>
      <c r="B656" s="4">
        <v>45669</v>
      </c>
      <c r="C656" s="1" t="s">
        <v>1</v>
      </c>
      <c r="D656" s="1" t="s">
        <v>36</v>
      </c>
      <c r="E656" s="1" t="s">
        <v>37</v>
      </c>
      <c r="F656" s="1" t="s">
        <v>38</v>
      </c>
      <c r="G656" s="1" t="s">
        <v>39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f t="shared" si="10"/>
        <v>0</v>
      </c>
      <c r="O656" s="1">
        <v>0</v>
      </c>
      <c r="P656" s="1"/>
      <c r="Q656" s="1">
        <v>46.3</v>
      </c>
    </row>
    <row r="657" spans="1:17">
      <c r="A657" s="1" t="s">
        <v>699</v>
      </c>
      <c r="B657" s="4">
        <v>45728</v>
      </c>
      <c r="C657" s="1" t="s">
        <v>1</v>
      </c>
      <c r="D657" s="1" t="s">
        <v>36</v>
      </c>
      <c r="E657" s="1" t="s">
        <v>37</v>
      </c>
      <c r="F657" s="1" t="s">
        <v>38</v>
      </c>
      <c r="G657" s="1" t="s">
        <v>43</v>
      </c>
      <c r="H657" s="1">
        <v>1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f t="shared" si="10"/>
        <v>0</v>
      </c>
      <c r="O657" s="1">
        <v>0</v>
      </c>
      <c r="P657" s="1"/>
      <c r="Q657" s="1">
        <v>62</v>
      </c>
    </row>
    <row r="658" spans="1:17">
      <c r="A658" s="1" t="s">
        <v>700</v>
      </c>
      <c r="B658" s="4">
        <v>45749</v>
      </c>
      <c r="C658" s="1" t="s">
        <v>1</v>
      </c>
      <c r="D658" s="1" t="s">
        <v>45</v>
      </c>
      <c r="E658" s="1" t="s">
        <v>37</v>
      </c>
      <c r="F658" s="1" t="s">
        <v>38</v>
      </c>
      <c r="G658" s="1" t="s">
        <v>34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f t="shared" si="10"/>
        <v>0</v>
      </c>
      <c r="O658" s="1">
        <v>0</v>
      </c>
      <c r="P658" s="1"/>
      <c r="Q658" s="1">
        <v>55.6</v>
      </c>
    </row>
    <row r="659" spans="1:17">
      <c r="A659" s="1" t="s">
        <v>701</v>
      </c>
      <c r="B659" s="4">
        <v>45670</v>
      </c>
      <c r="C659" s="1" t="s">
        <v>1</v>
      </c>
      <c r="D659" s="1" t="s">
        <v>45</v>
      </c>
      <c r="E659" s="1" t="s">
        <v>37</v>
      </c>
      <c r="F659" s="1" t="s">
        <v>38</v>
      </c>
      <c r="G659" s="1" t="s">
        <v>34</v>
      </c>
      <c r="H659" s="1">
        <v>1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f t="shared" si="10"/>
        <v>0</v>
      </c>
      <c r="O659" s="1">
        <v>0</v>
      </c>
      <c r="P659" s="1"/>
      <c r="Q659" s="1">
        <v>62.8</v>
      </c>
    </row>
    <row r="660" spans="1:17">
      <c r="A660" s="1" t="s">
        <v>702</v>
      </c>
      <c r="B660" s="4">
        <v>45723</v>
      </c>
      <c r="C660" s="1" t="s">
        <v>1</v>
      </c>
      <c r="D660" s="1" t="s">
        <v>41</v>
      </c>
      <c r="E660" s="1" t="s">
        <v>37</v>
      </c>
      <c r="F660" s="1" t="s">
        <v>52</v>
      </c>
      <c r="G660" s="1" t="s">
        <v>39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f t="shared" si="10"/>
        <v>0</v>
      </c>
      <c r="O660" s="1">
        <v>0</v>
      </c>
      <c r="P660" s="1"/>
      <c r="Q660" s="1">
        <v>73.099999999999994</v>
      </c>
    </row>
    <row r="661" spans="1:17">
      <c r="A661" s="1" t="s">
        <v>703</v>
      </c>
      <c r="B661" s="4">
        <v>45767</v>
      </c>
      <c r="C661" s="1" t="s">
        <v>1</v>
      </c>
      <c r="D661" s="1" t="s">
        <v>45</v>
      </c>
      <c r="E661" s="1" t="s">
        <v>32</v>
      </c>
      <c r="F661" s="1" t="s">
        <v>54</v>
      </c>
      <c r="G661" s="1" t="s">
        <v>39</v>
      </c>
      <c r="H661" s="1">
        <v>1</v>
      </c>
      <c r="I661" s="1">
        <v>1</v>
      </c>
      <c r="J661" s="1">
        <v>1</v>
      </c>
      <c r="K661" s="1">
        <v>1</v>
      </c>
      <c r="L661" s="1">
        <v>347.52</v>
      </c>
      <c r="M661" s="1">
        <v>0</v>
      </c>
      <c r="N661" s="1">
        <f t="shared" si="10"/>
        <v>0</v>
      </c>
      <c r="O661" s="1">
        <v>0</v>
      </c>
      <c r="P661" s="1">
        <v>2</v>
      </c>
      <c r="Q661" s="1">
        <v>57.2</v>
      </c>
    </row>
    <row r="662" spans="1:17">
      <c r="A662" s="1" t="s">
        <v>704</v>
      </c>
      <c r="B662" s="4">
        <v>45664</v>
      </c>
      <c r="C662" s="1" t="s">
        <v>1</v>
      </c>
      <c r="D662" s="1" t="s">
        <v>45</v>
      </c>
      <c r="E662" s="1" t="s">
        <v>37</v>
      </c>
      <c r="F662" s="1" t="s">
        <v>42</v>
      </c>
      <c r="G662" s="1" t="s">
        <v>39</v>
      </c>
      <c r="H662" s="1">
        <v>1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f t="shared" si="10"/>
        <v>0</v>
      </c>
      <c r="O662" s="1">
        <v>0</v>
      </c>
      <c r="P662" s="1"/>
      <c r="Q662" s="1">
        <v>67.900000000000006</v>
      </c>
    </row>
    <row r="663" spans="1:17">
      <c r="A663" s="1" t="s">
        <v>705</v>
      </c>
      <c r="B663" s="4">
        <v>45770</v>
      </c>
      <c r="C663" s="1" t="s">
        <v>1</v>
      </c>
      <c r="D663" s="1" t="s">
        <v>45</v>
      </c>
      <c r="E663" s="1" t="s">
        <v>37</v>
      </c>
      <c r="F663" s="1" t="s">
        <v>52</v>
      </c>
      <c r="G663" s="1" t="s">
        <v>39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f t="shared" si="10"/>
        <v>0</v>
      </c>
      <c r="O663" s="1">
        <v>0</v>
      </c>
      <c r="P663" s="1"/>
      <c r="Q663" s="1">
        <v>50.1</v>
      </c>
    </row>
    <row r="664" spans="1:17">
      <c r="A664" s="1" t="s">
        <v>706</v>
      </c>
      <c r="B664" s="4">
        <v>45803</v>
      </c>
      <c r="C664" s="1" t="s">
        <v>1</v>
      </c>
      <c r="D664" s="1" t="s">
        <v>31</v>
      </c>
      <c r="E664" s="1" t="s">
        <v>37</v>
      </c>
      <c r="F664" s="1" t="s">
        <v>42</v>
      </c>
      <c r="G664" s="1" t="s">
        <v>34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f t="shared" si="10"/>
        <v>0</v>
      </c>
      <c r="O664" s="1">
        <v>0</v>
      </c>
      <c r="P664" s="1"/>
      <c r="Q664" s="1">
        <v>67.8</v>
      </c>
    </row>
    <row r="665" spans="1:17">
      <c r="A665" s="1" t="s">
        <v>707</v>
      </c>
      <c r="B665" s="4">
        <v>45733</v>
      </c>
      <c r="C665" s="1" t="s">
        <v>1</v>
      </c>
      <c r="D665" s="1" t="s">
        <v>31</v>
      </c>
      <c r="E665" s="1" t="s">
        <v>32</v>
      </c>
      <c r="F665" s="1" t="s">
        <v>54</v>
      </c>
      <c r="G665" s="1" t="s">
        <v>34</v>
      </c>
      <c r="H665" s="1">
        <v>1</v>
      </c>
      <c r="I665" s="1">
        <v>1</v>
      </c>
      <c r="J665" s="1">
        <v>1</v>
      </c>
      <c r="K665" s="1">
        <v>0</v>
      </c>
      <c r="L665" s="1">
        <v>0</v>
      </c>
      <c r="M665" s="1">
        <v>0</v>
      </c>
      <c r="N665" s="1">
        <f t="shared" si="10"/>
        <v>0</v>
      </c>
      <c r="O665" s="1">
        <v>0</v>
      </c>
      <c r="P665" s="1"/>
      <c r="Q665" s="1">
        <v>60.8</v>
      </c>
    </row>
    <row r="666" spans="1:17">
      <c r="A666" s="1" t="s">
        <v>708</v>
      </c>
      <c r="B666" s="4">
        <v>45794</v>
      </c>
      <c r="C666" s="1" t="s">
        <v>1</v>
      </c>
      <c r="D666" s="1" t="s">
        <v>31</v>
      </c>
      <c r="E666" s="1" t="s">
        <v>32</v>
      </c>
      <c r="F666" s="1" t="s">
        <v>42</v>
      </c>
      <c r="G666" s="1" t="s">
        <v>34</v>
      </c>
      <c r="H666" s="1">
        <v>1</v>
      </c>
      <c r="I666" s="1">
        <v>0</v>
      </c>
      <c r="J666" s="1">
        <v>0</v>
      </c>
      <c r="K666" s="1">
        <v>0</v>
      </c>
      <c r="L666" s="1">
        <v>0</v>
      </c>
      <c r="M666" s="1">
        <v>3</v>
      </c>
      <c r="N666" s="1">
        <f t="shared" si="10"/>
        <v>1</v>
      </c>
      <c r="O666" s="1">
        <v>0</v>
      </c>
      <c r="P666" s="1"/>
      <c r="Q666" s="1">
        <v>33.700000000000003</v>
      </c>
    </row>
    <row r="667" spans="1:17">
      <c r="A667" s="1" t="s">
        <v>709</v>
      </c>
      <c r="B667" s="4">
        <v>45709</v>
      </c>
      <c r="C667" s="1" t="s">
        <v>1</v>
      </c>
      <c r="D667" s="1" t="s">
        <v>31</v>
      </c>
      <c r="E667" s="1" t="s">
        <v>37</v>
      </c>
      <c r="F667" s="1" t="s">
        <v>42</v>
      </c>
      <c r="G667" s="1" t="s">
        <v>34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f t="shared" si="10"/>
        <v>0</v>
      </c>
      <c r="O667" s="1">
        <v>0</v>
      </c>
      <c r="P667" s="1"/>
      <c r="Q667" s="1">
        <v>45.2</v>
      </c>
    </row>
    <row r="668" spans="1:17">
      <c r="A668" s="1" t="s">
        <v>710</v>
      </c>
      <c r="B668" s="4">
        <v>45713</v>
      </c>
      <c r="C668" s="1" t="s">
        <v>1</v>
      </c>
      <c r="D668" s="1" t="s">
        <v>41</v>
      </c>
      <c r="E668" s="1" t="s">
        <v>32</v>
      </c>
      <c r="F668" s="1" t="s">
        <v>42</v>
      </c>
      <c r="G668" s="1" t="s">
        <v>43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f t="shared" si="10"/>
        <v>0</v>
      </c>
      <c r="O668" s="1">
        <v>0</v>
      </c>
      <c r="P668" s="1"/>
      <c r="Q668" s="1">
        <v>48.2</v>
      </c>
    </row>
    <row r="669" spans="1:17">
      <c r="A669" s="1" t="s">
        <v>711</v>
      </c>
      <c r="B669" s="4">
        <v>45687</v>
      </c>
      <c r="C669" s="1" t="s">
        <v>1</v>
      </c>
      <c r="D669" s="1" t="s">
        <v>45</v>
      </c>
      <c r="E669" s="1" t="s">
        <v>37</v>
      </c>
      <c r="F669" s="1" t="s">
        <v>54</v>
      </c>
      <c r="G669" s="1" t="s">
        <v>39</v>
      </c>
      <c r="H669" s="1">
        <v>1</v>
      </c>
      <c r="I669" s="1">
        <v>1</v>
      </c>
      <c r="J669" s="1">
        <v>0</v>
      </c>
      <c r="K669" s="1">
        <v>0</v>
      </c>
      <c r="L669" s="1">
        <v>0</v>
      </c>
      <c r="M669" s="1">
        <v>1</v>
      </c>
      <c r="N669" s="1">
        <f t="shared" si="10"/>
        <v>1</v>
      </c>
      <c r="O669" s="1">
        <v>0</v>
      </c>
      <c r="P669" s="1"/>
      <c r="Q669" s="1">
        <v>44.8</v>
      </c>
    </row>
    <row r="670" spans="1:17">
      <c r="A670" s="1" t="s">
        <v>712</v>
      </c>
      <c r="B670" s="4">
        <v>45705</v>
      </c>
      <c r="C670" s="1" t="s">
        <v>1</v>
      </c>
      <c r="D670" s="1" t="s">
        <v>31</v>
      </c>
      <c r="E670" s="1" t="s">
        <v>47</v>
      </c>
      <c r="F670" s="1" t="s">
        <v>54</v>
      </c>
      <c r="G670" s="1" t="s">
        <v>34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f t="shared" si="10"/>
        <v>0</v>
      </c>
      <c r="O670" s="1">
        <v>0</v>
      </c>
      <c r="P670" s="1"/>
      <c r="Q670" s="1">
        <v>52.1</v>
      </c>
    </row>
    <row r="671" spans="1:17">
      <c r="A671" s="1" t="s">
        <v>713</v>
      </c>
      <c r="B671" s="4">
        <v>45794</v>
      </c>
      <c r="C671" s="1" t="s">
        <v>1</v>
      </c>
      <c r="D671" s="1" t="s">
        <v>31</v>
      </c>
      <c r="E671" s="1" t="s">
        <v>32</v>
      </c>
      <c r="F671" s="1" t="s">
        <v>42</v>
      </c>
      <c r="G671" s="1" t="s">
        <v>34</v>
      </c>
      <c r="H671" s="1">
        <v>1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f t="shared" si="10"/>
        <v>0</v>
      </c>
      <c r="O671" s="1">
        <v>0</v>
      </c>
      <c r="P671" s="1"/>
      <c r="Q671" s="1">
        <v>30.7</v>
      </c>
    </row>
    <row r="672" spans="1:17">
      <c r="A672" s="1" t="s">
        <v>714</v>
      </c>
      <c r="B672" s="4">
        <v>45777</v>
      </c>
      <c r="C672" s="1" t="s">
        <v>1</v>
      </c>
      <c r="D672" s="1" t="s">
        <v>41</v>
      </c>
      <c r="E672" s="1" t="s">
        <v>32</v>
      </c>
      <c r="F672" s="1" t="s">
        <v>42</v>
      </c>
      <c r="G672" s="1" t="s">
        <v>39</v>
      </c>
      <c r="H672" s="1">
        <v>1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f t="shared" si="10"/>
        <v>0</v>
      </c>
      <c r="O672" s="1">
        <v>0</v>
      </c>
      <c r="P672" s="1"/>
      <c r="Q672" s="1">
        <v>58.4</v>
      </c>
    </row>
    <row r="673" spans="1:17">
      <c r="A673" s="1" t="s">
        <v>715</v>
      </c>
      <c r="B673" s="4">
        <v>45738</v>
      </c>
      <c r="C673" s="1" t="s">
        <v>1</v>
      </c>
      <c r="D673" s="1" t="s">
        <v>36</v>
      </c>
      <c r="E673" s="1" t="s">
        <v>37</v>
      </c>
      <c r="F673" s="1" t="s">
        <v>52</v>
      </c>
      <c r="G673" s="1" t="s">
        <v>39</v>
      </c>
      <c r="H673" s="1">
        <v>1</v>
      </c>
      <c r="I673" s="1">
        <v>1</v>
      </c>
      <c r="J673" s="1">
        <v>0</v>
      </c>
      <c r="K673" s="1">
        <v>0</v>
      </c>
      <c r="L673" s="1">
        <v>0</v>
      </c>
      <c r="M673" s="1">
        <v>0</v>
      </c>
      <c r="N673" s="1">
        <f t="shared" si="10"/>
        <v>0</v>
      </c>
      <c r="O673" s="1">
        <v>0</v>
      </c>
      <c r="P673" s="1"/>
      <c r="Q673" s="1">
        <v>52.6</v>
      </c>
    </row>
    <row r="674" spans="1:17">
      <c r="A674" s="1" t="s">
        <v>716</v>
      </c>
      <c r="B674" s="4">
        <v>45667</v>
      </c>
      <c r="C674" s="1" t="s">
        <v>1</v>
      </c>
      <c r="D674" s="1" t="s">
        <v>36</v>
      </c>
      <c r="E674" s="1"/>
      <c r="F674" s="1" t="s">
        <v>42</v>
      </c>
      <c r="G674" s="1" t="s">
        <v>39</v>
      </c>
      <c r="H674" s="1">
        <v>1</v>
      </c>
      <c r="I674" s="1">
        <v>0</v>
      </c>
      <c r="J674" s="1">
        <v>0</v>
      </c>
      <c r="K674" s="1">
        <v>0</v>
      </c>
      <c r="L674" s="1">
        <v>0</v>
      </c>
      <c r="M674" s="1">
        <v>1</v>
      </c>
      <c r="N674" s="1">
        <f t="shared" si="10"/>
        <v>1</v>
      </c>
      <c r="O674" s="1">
        <v>0</v>
      </c>
      <c r="P674" s="1"/>
      <c r="Q674" s="1">
        <v>19.100000000000001</v>
      </c>
    </row>
    <row r="675" spans="1:17">
      <c r="A675" s="1" t="s">
        <v>717</v>
      </c>
      <c r="B675" s="4">
        <v>45737</v>
      </c>
      <c r="C675" s="1" t="s">
        <v>1</v>
      </c>
      <c r="D675" s="1" t="s">
        <v>45</v>
      </c>
      <c r="E675" s="1"/>
      <c r="F675" s="1" t="s">
        <v>42</v>
      </c>
      <c r="G675" s="1" t="s">
        <v>39</v>
      </c>
      <c r="H675" s="1">
        <v>1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f t="shared" si="10"/>
        <v>0</v>
      </c>
      <c r="O675" s="1">
        <v>0</v>
      </c>
      <c r="P675" s="1"/>
      <c r="Q675" s="1">
        <v>36.799999999999997</v>
      </c>
    </row>
    <row r="676" spans="1:17">
      <c r="A676" s="1" t="s">
        <v>718</v>
      </c>
      <c r="B676" s="4">
        <v>45789</v>
      </c>
      <c r="C676" s="1" t="s">
        <v>1</v>
      </c>
      <c r="D676" s="1" t="s">
        <v>31</v>
      </c>
      <c r="E676" s="1" t="s">
        <v>32</v>
      </c>
      <c r="F676" s="1" t="s">
        <v>42</v>
      </c>
      <c r="G676" s="1" t="s">
        <v>34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f t="shared" si="10"/>
        <v>0</v>
      </c>
      <c r="O676" s="1">
        <v>0</v>
      </c>
      <c r="P676" s="1"/>
      <c r="Q676" s="1">
        <v>68.5</v>
      </c>
    </row>
    <row r="677" spans="1:17">
      <c r="A677" s="1" t="s">
        <v>719</v>
      </c>
      <c r="B677" s="4">
        <v>45801</v>
      </c>
      <c r="C677" s="1" t="s">
        <v>1</v>
      </c>
      <c r="D677" s="1" t="s">
        <v>36</v>
      </c>
      <c r="E677" s="1" t="s">
        <v>37</v>
      </c>
      <c r="F677" s="1" t="s">
        <v>42</v>
      </c>
      <c r="G677" s="1" t="s">
        <v>39</v>
      </c>
      <c r="H677" s="1">
        <v>1</v>
      </c>
      <c r="I677" s="1">
        <v>1</v>
      </c>
      <c r="J677" s="1">
        <v>1</v>
      </c>
      <c r="K677" s="1">
        <v>0</v>
      </c>
      <c r="L677" s="1">
        <v>0</v>
      </c>
      <c r="M677" s="1">
        <v>0</v>
      </c>
      <c r="N677" s="1">
        <f t="shared" si="10"/>
        <v>0</v>
      </c>
      <c r="O677" s="1">
        <v>0</v>
      </c>
      <c r="P677" s="1"/>
      <c r="Q677" s="1">
        <v>40.1</v>
      </c>
    </row>
    <row r="678" spans="1:17">
      <c r="A678" s="1" t="s">
        <v>720</v>
      </c>
      <c r="B678" s="4">
        <v>45780</v>
      </c>
      <c r="C678" s="1" t="s">
        <v>1</v>
      </c>
      <c r="D678" s="1" t="s">
        <v>36</v>
      </c>
      <c r="E678" s="1" t="s">
        <v>47</v>
      </c>
      <c r="F678" s="1" t="s">
        <v>38</v>
      </c>
      <c r="G678" s="1" t="s">
        <v>39</v>
      </c>
      <c r="H678" s="1">
        <v>1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f t="shared" si="10"/>
        <v>0</v>
      </c>
      <c r="O678" s="1">
        <v>0</v>
      </c>
      <c r="P678" s="1"/>
      <c r="Q678" s="1">
        <v>47.5</v>
      </c>
    </row>
    <row r="679" spans="1:17">
      <c r="A679" s="1" t="s">
        <v>721</v>
      </c>
      <c r="B679" s="4">
        <v>45671</v>
      </c>
      <c r="C679" s="1" t="s">
        <v>1</v>
      </c>
      <c r="D679" s="1" t="s">
        <v>45</v>
      </c>
      <c r="E679" s="1" t="s">
        <v>37</v>
      </c>
      <c r="F679" s="1" t="s">
        <v>38</v>
      </c>
      <c r="G679" s="1" t="s">
        <v>34</v>
      </c>
      <c r="H679" s="1">
        <v>1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f t="shared" si="10"/>
        <v>0</v>
      </c>
      <c r="O679" s="1">
        <v>0</v>
      </c>
      <c r="P679" s="1"/>
      <c r="Q679" s="1">
        <v>77.099999999999994</v>
      </c>
    </row>
    <row r="680" spans="1:17">
      <c r="A680" s="1" t="s">
        <v>722</v>
      </c>
      <c r="B680" s="4">
        <v>45743</v>
      </c>
      <c r="C680" s="1" t="s">
        <v>1</v>
      </c>
      <c r="D680" s="1" t="s">
        <v>36</v>
      </c>
      <c r="E680" s="1" t="s">
        <v>37</v>
      </c>
      <c r="F680" s="1" t="s">
        <v>54</v>
      </c>
      <c r="G680" s="1" t="s">
        <v>34</v>
      </c>
      <c r="H680" s="1">
        <v>1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f t="shared" si="10"/>
        <v>0</v>
      </c>
      <c r="O680" s="1">
        <v>0</v>
      </c>
      <c r="P680" s="1"/>
      <c r="Q680" s="1">
        <v>75.900000000000006</v>
      </c>
    </row>
    <row r="681" spans="1:17">
      <c r="A681" s="1" t="s">
        <v>723</v>
      </c>
      <c r="B681" s="4">
        <v>45716</v>
      </c>
      <c r="C681" s="1" t="s">
        <v>1</v>
      </c>
      <c r="D681" s="1" t="s">
        <v>31</v>
      </c>
      <c r="E681" s="1" t="s">
        <v>32</v>
      </c>
      <c r="F681" s="1" t="s">
        <v>52</v>
      </c>
      <c r="G681" s="1" t="s">
        <v>43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1</v>
      </c>
      <c r="N681" s="1">
        <f t="shared" si="10"/>
        <v>1</v>
      </c>
      <c r="O681" s="1">
        <v>0</v>
      </c>
      <c r="P681" s="1"/>
      <c r="Q681" s="1">
        <v>52</v>
      </c>
    </row>
    <row r="682" spans="1:17">
      <c r="A682" s="1" t="s">
        <v>724</v>
      </c>
      <c r="B682" s="4">
        <v>45789</v>
      </c>
      <c r="C682" s="1" t="s">
        <v>1</v>
      </c>
      <c r="D682" s="1" t="s">
        <v>36</v>
      </c>
      <c r="E682" s="1" t="s">
        <v>32</v>
      </c>
      <c r="F682" s="1" t="s">
        <v>52</v>
      </c>
      <c r="G682" s="1" t="s">
        <v>43</v>
      </c>
      <c r="H682" s="1">
        <v>1</v>
      </c>
      <c r="I682" s="1">
        <v>1</v>
      </c>
      <c r="J682" s="1">
        <v>1</v>
      </c>
      <c r="K682" s="1">
        <v>0</v>
      </c>
      <c r="L682" s="1">
        <v>0</v>
      </c>
      <c r="M682" s="1">
        <v>0</v>
      </c>
      <c r="N682" s="1">
        <f t="shared" si="10"/>
        <v>0</v>
      </c>
      <c r="O682" s="1">
        <v>0</v>
      </c>
      <c r="P682" s="1"/>
      <c r="Q682" s="1">
        <v>64.900000000000006</v>
      </c>
    </row>
    <row r="683" spans="1:17">
      <c r="A683" s="1" t="s">
        <v>725</v>
      </c>
      <c r="B683" s="4">
        <v>45730</v>
      </c>
      <c r="C683" s="1" t="s">
        <v>1</v>
      </c>
      <c r="D683" s="1" t="s">
        <v>31</v>
      </c>
      <c r="E683" s="1" t="s">
        <v>37</v>
      </c>
      <c r="F683" s="1" t="s">
        <v>38</v>
      </c>
      <c r="G683" s="1" t="s">
        <v>39</v>
      </c>
      <c r="H683" s="1">
        <v>1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f t="shared" si="10"/>
        <v>0</v>
      </c>
      <c r="O683" s="1">
        <v>0</v>
      </c>
      <c r="P683" s="1"/>
      <c r="Q683" s="1">
        <v>48.2</v>
      </c>
    </row>
    <row r="684" spans="1:17">
      <c r="A684" s="1" t="s">
        <v>726</v>
      </c>
      <c r="B684" s="4">
        <v>45797</v>
      </c>
      <c r="C684" s="1" t="s">
        <v>1</v>
      </c>
      <c r="D684" s="1" t="s">
        <v>41</v>
      </c>
      <c r="E684" s="1" t="s">
        <v>37</v>
      </c>
      <c r="F684" s="1" t="s">
        <v>38</v>
      </c>
      <c r="G684" s="1" t="s">
        <v>34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f t="shared" si="10"/>
        <v>0</v>
      </c>
      <c r="O684" s="1">
        <v>0</v>
      </c>
      <c r="P684" s="1"/>
      <c r="Q684" s="1">
        <v>42.1</v>
      </c>
    </row>
    <row r="685" spans="1:17">
      <c r="A685" s="1" t="s">
        <v>727</v>
      </c>
      <c r="B685" s="4">
        <v>45712</v>
      </c>
      <c r="C685" s="1" t="s">
        <v>1</v>
      </c>
      <c r="D685" s="1" t="s">
        <v>45</v>
      </c>
      <c r="E685" s="1" t="s">
        <v>32</v>
      </c>
      <c r="F685" s="1" t="s">
        <v>52</v>
      </c>
      <c r="G685" s="1" t="s">
        <v>39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f t="shared" si="10"/>
        <v>0</v>
      </c>
      <c r="O685" s="1">
        <v>0</v>
      </c>
      <c r="P685" s="1"/>
      <c r="Q685" s="1">
        <v>27.6</v>
      </c>
    </row>
    <row r="686" spans="1:17">
      <c r="A686" s="1" t="s">
        <v>728</v>
      </c>
      <c r="B686" s="4">
        <v>45701</v>
      </c>
      <c r="C686" s="1" t="s">
        <v>1</v>
      </c>
      <c r="D686" s="1" t="s">
        <v>36</v>
      </c>
      <c r="E686" s="1" t="s">
        <v>37</v>
      </c>
      <c r="F686" s="1" t="s">
        <v>38</v>
      </c>
      <c r="G686" s="1" t="s">
        <v>43</v>
      </c>
      <c r="H686" s="1">
        <v>1</v>
      </c>
      <c r="I686" s="1">
        <v>0</v>
      </c>
      <c r="J686" s="1">
        <v>0</v>
      </c>
      <c r="K686" s="1">
        <v>0</v>
      </c>
      <c r="L686" s="1">
        <v>0</v>
      </c>
      <c r="M686" s="1">
        <v>1</v>
      </c>
      <c r="N686" s="1">
        <f t="shared" si="10"/>
        <v>1</v>
      </c>
      <c r="O686" s="1">
        <v>0</v>
      </c>
      <c r="P686" s="1"/>
      <c r="Q686" s="1">
        <v>68.5</v>
      </c>
    </row>
    <row r="687" spans="1:17">
      <c r="A687" s="1" t="s">
        <v>729</v>
      </c>
      <c r="B687" s="4">
        <v>45694</v>
      </c>
      <c r="C687" s="1" t="s">
        <v>1</v>
      </c>
      <c r="D687" s="1" t="s">
        <v>45</v>
      </c>
      <c r="E687" s="1" t="s">
        <v>32</v>
      </c>
      <c r="F687" s="1" t="s">
        <v>38</v>
      </c>
      <c r="G687" s="1" t="s">
        <v>39</v>
      </c>
      <c r="H687" s="1">
        <v>1</v>
      </c>
      <c r="I687" s="1">
        <v>1</v>
      </c>
      <c r="J687" s="1">
        <v>1</v>
      </c>
      <c r="K687" s="1">
        <v>0</v>
      </c>
      <c r="L687" s="1">
        <v>0</v>
      </c>
      <c r="M687" s="1">
        <v>0</v>
      </c>
      <c r="N687" s="1">
        <f t="shared" si="10"/>
        <v>0</v>
      </c>
      <c r="O687" s="1">
        <v>0</v>
      </c>
      <c r="P687" s="1"/>
      <c r="Q687" s="1">
        <v>59.2</v>
      </c>
    </row>
    <row r="688" spans="1:17">
      <c r="A688" s="1" t="s">
        <v>730</v>
      </c>
      <c r="B688" s="4">
        <v>45718</v>
      </c>
      <c r="C688" s="1" t="s">
        <v>1</v>
      </c>
      <c r="D688" s="1" t="s">
        <v>31</v>
      </c>
      <c r="E688" s="1" t="s">
        <v>37</v>
      </c>
      <c r="F688" s="1" t="s">
        <v>54</v>
      </c>
      <c r="G688" s="1" t="s">
        <v>34</v>
      </c>
      <c r="H688" s="1">
        <v>1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f t="shared" si="10"/>
        <v>0</v>
      </c>
      <c r="O688" s="1">
        <v>0</v>
      </c>
      <c r="P688" s="1"/>
      <c r="Q688" s="1">
        <v>63.3</v>
      </c>
    </row>
    <row r="689" spans="1:17">
      <c r="A689" s="1" t="s">
        <v>731</v>
      </c>
      <c r="B689" s="4">
        <v>45775</v>
      </c>
      <c r="C689" s="1" t="s">
        <v>1</v>
      </c>
      <c r="D689" s="1" t="s">
        <v>41</v>
      </c>
      <c r="E689" s="1" t="s">
        <v>32</v>
      </c>
      <c r="F689" s="1" t="s">
        <v>42</v>
      </c>
      <c r="G689" s="1" t="s">
        <v>39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f t="shared" si="10"/>
        <v>0</v>
      </c>
      <c r="O689" s="1">
        <v>0</v>
      </c>
      <c r="P689" s="1"/>
      <c r="Q689" s="1">
        <v>55</v>
      </c>
    </row>
    <row r="690" spans="1:17">
      <c r="A690" s="1" t="s">
        <v>732</v>
      </c>
      <c r="B690" s="4">
        <v>45804</v>
      </c>
      <c r="C690" s="1" t="s">
        <v>1</v>
      </c>
      <c r="D690" s="1" t="s">
        <v>31</v>
      </c>
      <c r="E690" s="1" t="s">
        <v>32</v>
      </c>
      <c r="F690" s="1"/>
      <c r="G690" s="1" t="s">
        <v>43</v>
      </c>
      <c r="H690" s="1">
        <v>1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f t="shared" si="10"/>
        <v>0</v>
      </c>
      <c r="O690" s="1">
        <v>0</v>
      </c>
      <c r="P690" s="1"/>
      <c r="Q690" s="1">
        <v>64.8</v>
      </c>
    </row>
    <row r="691" spans="1:17">
      <c r="A691" s="1" t="s">
        <v>733</v>
      </c>
      <c r="B691" s="4">
        <v>45754</v>
      </c>
      <c r="C691" s="1" t="s">
        <v>1</v>
      </c>
      <c r="D691" s="1" t="s">
        <v>45</v>
      </c>
      <c r="E691" s="1" t="s">
        <v>32</v>
      </c>
      <c r="F691" s="1" t="s">
        <v>38</v>
      </c>
      <c r="G691" s="1" t="s">
        <v>34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2</v>
      </c>
      <c r="N691" s="1">
        <f t="shared" si="10"/>
        <v>1</v>
      </c>
      <c r="O691" s="1">
        <v>0</v>
      </c>
      <c r="P691" s="1"/>
      <c r="Q691" s="1">
        <v>41.8</v>
      </c>
    </row>
    <row r="692" spans="1:17">
      <c r="A692" s="1" t="s">
        <v>734</v>
      </c>
      <c r="B692" s="4">
        <v>45761</v>
      </c>
      <c r="C692" s="1" t="s">
        <v>2</v>
      </c>
      <c r="D692" s="1" t="s">
        <v>41</v>
      </c>
      <c r="E692" s="1" t="s">
        <v>32</v>
      </c>
      <c r="F692" s="1" t="s">
        <v>54</v>
      </c>
      <c r="G692" s="1" t="s">
        <v>34</v>
      </c>
      <c r="H692" s="1">
        <v>1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f t="shared" si="10"/>
        <v>0</v>
      </c>
      <c r="O692" s="1">
        <v>0</v>
      </c>
      <c r="P692" s="1"/>
      <c r="Q692" s="1">
        <v>73.2</v>
      </c>
    </row>
    <row r="693" spans="1:17">
      <c r="A693" s="1" t="s">
        <v>735</v>
      </c>
      <c r="B693" s="4">
        <v>45786</v>
      </c>
      <c r="C693" s="1" t="s">
        <v>2</v>
      </c>
      <c r="D693" s="1" t="s">
        <v>41</v>
      </c>
      <c r="E693" s="1" t="s">
        <v>32</v>
      </c>
      <c r="F693" s="1" t="s">
        <v>38</v>
      </c>
      <c r="G693" s="1" t="s">
        <v>34</v>
      </c>
      <c r="H693" s="1">
        <v>1</v>
      </c>
      <c r="I693" s="1">
        <v>1</v>
      </c>
      <c r="J693" s="1">
        <v>1</v>
      </c>
      <c r="K693" s="1">
        <v>0</v>
      </c>
      <c r="L693" s="1">
        <v>0</v>
      </c>
      <c r="M693" s="1">
        <v>3</v>
      </c>
      <c r="N693" s="1">
        <f t="shared" si="10"/>
        <v>1</v>
      </c>
      <c r="O693" s="1">
        <v>0</v>
      </c>
      <c r="P693" s="1"/>
      <c r="Q693" s="1">
        <v>55.7</v>
      </c>
    </row>
    <row r="694" spans="1:17">
      <c r="A694" s="1" t="s">
        <v>736</v>
      </c>
      <c r="B694" s="4">
        <v>45737</v>
      </c>
      <c r="C694" s="1" t="s">
        <v>2</v>
      </c>
      <c r="D694" s="1" t="s">
        <v>31</v>
      </c>
      <c r="E694" s="1" t="s">
        <v>37</v>
      </c>
      <c r="F694" s="1" t="s">
        <v>38</v>
      </c>
      <c r="G694" s="1" t="s">
        <v>39</v>
      </c>
      <c r="H694" s="1">
        <v>1</v>
      </c>
      <c r="I694" s="1">
        <v>1</v>
      </c>
      <c r="J694" s="1">
        <v>1</v>
      </c>
      <c r="K694" s="1">
        <v>0</v>
      </c>
      <c r="L694" s="1">
        <v>0</v>
      </c>
      <c r="M694" s="1">
        <v>0</v>
      </c>
      <c r="N694" s="1">
        <f t="shared" si="10"/>
        <v>0</v>
      </c>
      <c r="O694" s="1">
        <v>0</v>
      </c>
      <c r="P694" s="1"/>
      <c r="Q694" s="1">
        <v>82.8</v>
      </c>
    </row>
    <row r="695" spans="1:17">
      <c r="A695" s="1" t="s">
        <v>737</v>
      </c>
      <c r="B695" s="4">
        <v>45743</v>
      </c>
      <c r="C695" s="1" t="s">
        <v>2</v>
      </c>
      <c r="D695" s="1" t="s">
        <v>31</v>
      </c>
      <c r="E695" s="1" t="s">
        <v>32</v>
      </c>
      <c r="F695" s="1" t="s">
        <v>54</v>
      </c>
      <c r="G695" s="1" t="s">
        <v>39</v>
      </c>
      <c r="H695" s="1">
        <v>1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f t="shared" si="10"/>
        <v>0</v>
      </c>
      <c r="O695" s="1">
        <v>0</v>
      </c>
      <c r="P695" s="1"/>
      <c r="Q695" s="1"/>
    </row>
    <row r="696" spans="1:17">
      <c r="A696" s="1" t="s">
        <v>738</v>
      </c>
      <c r="B696" s="4">
        <v>45678</v>
      </c>
      <c r="C696" s="1" t="s">
        <v>2</v>
      </c>
      <c r="D696" s="1" t="s">
        <v>45</v>
      </c>
      <c r="E696" s="1" t="s">
        <v>37</v>
      </c>
      <c r="F696" s="1" t="s">
        <v>42</v>
      </c>
      <c r="G696" s="1" t="s">
        <v>39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f t="shared" si="10"/>
        <v>0</v>
      </c>
      <c r="O696" s="1">
        <v>0</v>
      </c>
      <c r="P696" s="1"/>
      <c r="Q696" s="1">
        <v>34.4</v>
      </c>
    </row>
    <row r="697" spans="1:17">
      <c r="A697" s="1" t="s">
        <v>739</v>
      </c>
      <c r="B697" s="4">
        <v>45735</v>
      </c>
      <c r="C697" s="1" t="s">
        <v>2</v>
      </c>
      <c r="D697" s="1" t="s">
        <v>41</v>
      </c>
      <c r="E697" s="1" t="s">
        <v>32</v>
      </c>
      <c r="F697" s="1" t="s">
        <v>33</v>
      </c>
      <c r="G697" s="1" t="s">
        <v>39</v>
      </c>
      <c r="H697" s="1">
        <v>1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f t="shared" si="10"/>
        <v>0</v>
      </c>
      <c r="O697" s="1">
        <v>0</v>
      </c>
      <c r="P697" s="1"/>
      <c r="Q697" s="1">
        <v>45.2</v>
      </c>
    </row>
    <row r="698" spans="1:17">
      <c r="A698" s="1" t="s">
        <v>740</v>
      </c>
      <c r="B698" s="4">
        <v>45804</v>
      </c>
      <c r="C698" s="1" t="s">
        <v>2</v>
      </c>
      <c r="D698" s="1" t="s">
        <v>31</v>
      </c>
      <c r="E698" s="1" t="s">
        <v>37</v>
      </c>
      <c r="F698" s="1" t="s">
        <v>38</v>
      </c>
      <c r="G698" s="1" t="s">
        <v>34</v>
      </c>
      <c r="H698" s="1">
        <v>1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f t="shared" si="10"/>
        <v>0</v>
      </c>
      <c r="O698" s="1">
        <v>0</v>
      </c>
      <c r="P698" s="1"/>
      <c r="Q698" s="1">
        <v>71.599999999999994</v>
      </c>
    </row>
    <row r="699" spans="1:17">
      <c r="A699" s="1" t="s">
        <v>741</v>
      </c>
      <c r="B699" s="4">
        <v>45658</v>
      </c>
      <c r="C699" s="1" t="s">
        <v>2</v>
      </c>
      <c r="D699" s="1" t="s">
        <v>31</v>
      </c>
      <c r="E699" s="1" t="s">
        <v>37</v>
      </c>
      <c r="F699" s="1" t="s">
        <v>54</v>
      </c>
      <c r="G699" s="1" t="s">
        <v>39</v>
      </c>
      <c r="H699" s="1">
        <v>1</v>
      </c>
      <c r="I699" s="1">
        <v>1</v>
      </c>
      <c r="J699" s="1">
        <v>1</v>
      </c>
      <c r="K699" s="1">
        <v>0</v>
      </c>
      <c r="L699" s="1">
        <v>0</v>
      </c>
      <c r="M699" s="1">
        <v>0</v>
      </c>
      <c r="N699" s="1">
        <f t="shared" si="10"/>
        <v>0</v>
      </c>
      <c r="O699" s="1">
        <v>0</v>
      </c>
      <c r="P699" s="1"/>
      <c r="Q699" s="1">
        <v>69.099999999999994</v>
      </c>
    </row>
    <row r="700" spans="1:17">
      <c r="A700" s="1" t="s">
        <v>742</v>
      </c>
      <c r="B700" s="4">
        <v>45745</v>
      </c>
      <c r="C700" s="1" t="s">
        <v>2</v>
      </c>
      <c r="D700" s="1" t="s">
        <v>36</v>
      </c>
      <c r="E700" s="1" t="s">
        <v>32</v>
      </c>
      <c r="F700" s="1" t="s">
        <v>42</v>
      </c>
      <c r="G700" s="1" t="s">
        <v>43</v>
      </c>
      <c r="H700" s="1">
        <v>1</v>
      </c>
      <c r="I700" s="1">
        <v>0</v>
      </c>
      <c r="J700" s="1">
        <v>0</v>
      </c>
      <c r="K700" s="1">
        <v>0</v>
      </c>
      <c r="L700" s="1">
        <v>0</v>
      </c>
      <c r="M700" s="1">
        <v>1</v>
      </c>
      <c r="N700" s="1">
        <f t="shared" si="10"/>
        <v>1</v>
      </c>
      <c r="O700" s="1">
        <v>0</v>
      </c>
      <c r="P700" s="1"/>
      <c r="Q700" s="1">
        <v>37.700000000000003</v>
      </c>
    </row>
    <row r="701" spans="1:17">
      <c r="A701" s="1" t="s">
        <v>743</v>
      </c>
      <c r="B701" s="4">
        <v>45733</v>
      </c>
      <c r="C701" s="1" t="s">
        <v>2</v>
      </c>
      <c r="D701" s="1" t="s">
        <v>36</v>
      </c>
      <c r="E701" s="1" t="s">
        <v>32</v>
      </c>
      <c r="F701" s="1" t="s">
        <v>38</v>
      </c>
      <c r="G701" s="1" t="s">
        <v>34</v>
      </c>
      <c r="H701" s="1">
        <v>1</v>
      </c>
      <c r="I701" s="1">
        <v>0</v>
      </c>
      <c r="J701" s="1">
        <v>0</v>
      </c>
      <c r="K701" s="1">
        <v>0</v>
      </c>
      <c r="L701" s="1">
        <v>0</v>
      </c>
      <c r="M701" s="1">
        <v>1</v>
      </c>
      <c r="N701" s="1">
        <f t="shared" si="10"/>
        <v>1</v>
      </c>
      <c r="O701" s="1">
        <v>0</v>
      </c>
      <c r="P701" s="1"/>
      <c r="Q701" s="1">
        <v>60.8</v>
      </c>
    </row>
    <row r="702" spans="1:17">
      <c r="A702" s="1" t="s">
        <v>744</v>
      </c>
      <c r="B702" s="4">
        <v>45782</v>
      </c>
      <c r="C702" s="1" t="s">
        <v>2</v>
      </c>
      <c r="D702" s="1" t="s">
        <v>31</v>
      </c>
      <c r="E702" s="1" t="s">
        <v>37</v>
      </c>
      <c r="F702" s="1" t="s">
        <v>38</v>
      </c>
      <c r="G702" s="1" t="s">
        <v>39</v>
      </c>
      <c r="H702" s="1">
        <v>1</v>
      </c>
      <c r="I702" s="1">
        <v>1</v>
      </c>
      <c r="J702" s="1">
        <v>1</v>
      </c>
      <c r="K702" s="1">
        <v>1</v>
      </c>
      <c r="L702" s="1">
        <v>444.13</v>
      </c>
      <c r="M702" s="1">
        <v>0</v>
      </c>
      <c r="N702" s="1">
        <f t="shared" si="10"/>
        <v>0</v>
      </c>
      <c r="O702" s="1">
        <v>0</v>
      </c>
      <c r="P702" s="1">
        <v>10</v>
      </c>
      <c r="Q702" s="1">
        <v>80.7</v>
      </c>
    </row>
    <row r="703" spans="1:17">
      <c r="A703" s="1" t="s">
        <v>745</v>
      </c>
      <c r="B703" s="4">
        <v>45781</v>
      </c>
      <c r="C703" s="1" t="s">
        <v>2</v>
      </c>
      <c r="D703" s="1" t="s">
        <v>45</v>
      </c>
      <c r="E703" s="1" t="s">
        <v>37</v>
      </c>
      <c r="F703" s="1" t="s">
        <v>54</v>
      </c>
      <c r="G703" s="1" t="s">
        <v>39</v>
      </c>
      <c r="H703" s="1">
        <v>1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f t="shared" si="10"/>
        <v>0</v>
      </c>
      <c r="O703" s="1">
        <v>0</v>
      </c>
      <c r="P703" s="1"/>
      <c r="Q703" s="1">
        <v>69.2</v>
      </c>
    </row>
    <row r="704" spans="1:17">
      <c r="A704" s="1" t="s">
        <v>746</v>
      </c>
      <c r="B704" s="4">
        <v>45741</v>
      </c>
      <c r="C704" s="1" t="s">
        <v>2</v>
      </c>
      <c r="D704" s="1" t="s">
        <v>31</v>
      </c>
      <c r="E704" s="1" t="s">
        <v>37</v>
      </c>
      <c r="F704" s="1" t="s">
        <v>54</v>
      </c>
      <c r="G704" s="1" t="s">
        <v>43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3</v>
      </c>
      <c r="N704" s="1">
        <f t="shared" si="10"/>
        <v>1</v>
      </c>
      <c r="O704" s="1">
        <v>0</v>
      </c>
      <c r="P704" s="1"/>
      <c r="Q704" s="1">
        <v>55</v>
      </c>
    </row>
    <row r="705" spans="1:17">
      <c r="A705" s="1" t="s">
        <v>747</v>
      </c>
      <c r="B705" s="4">
        <v>45764</v>
      </c>
      <c r="C705" s="1" t="s">
        <v>2</v>
      </c>
      <c r="D705" s="1" t="s">
        <v>36</v>
      </c>
      <c r="E705" s="1" t="s">
        <v>37</v>
      </c>
      <c r="F705" s="1" t="s">
        <v>33</v>
      </c>
      <c r="G705" s="1" t="s">
        <v>39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1</v>
      </c>
      <c r="N705" s="1">
        <f t="shared" si="10"/>
        <v>1</v>
      </c>
      <c r="O705" s="1">
        <v>0</v>
      </c>
      <c r="P705" s="1"/>
      <c r="Q705" s="1">
        <v>73.599999999999994</v>
      </c>
    </row>
    <row r="706" spans="1:17">
      <c r="A706" s="1" t="s">
        <v>748</v>
      </c>
      <c r="B706" s="4">
        <v>45800</v>
      </c>
      <c r="C706" s="1" t="s">
        <v>2</v>
      </c>
      <c r="D706" s="1" t="s">
        <v>45</v>
      </c>
      <c r="E706" s="1" t="s">
        <v>37</v>
      </c>
      <c r="F706" s="1" t="s">
        <v>52</v>
      </c>
      <c r="G706" s="1" t="s">
        <v>34</v>
      </c>
      <c r="H706" s="1">
        <v>1</v>
      </c>
      <c r="I706" s="1">
        <v>1</v>
      </c>
      <c r="J706" s="1">
        <v>1</v>
      </c>
      <c r="K706" s="1">
        <v>0</v>
      </c>
      <c r="L706" s="1">
        <v>0</v>
      </c>
      <c r="M706" s="1">
        <v>1</v>
      </c>
      <c r="N706" s="1">
        <f t="shared" si="10"/>
        <v>1</v>
      </c>
      <c r="O706" s="1">
        <v>0</v>
      </c>
      <c r="P706" s="1"/>
      <c r="Q706" s="1">
        <v>47.3</v>
      </c>
    </row>
    <row r="707" spans="1:17">
      <c r="A707" s="1" t="s">
        <v>749</v>
      </c>
      <c r="B707" s="4">
        <v>45670</v>
      </c>
      <c r="C707" s="1" t="s">
        <v>2</v>
      </c>
      <c r="D707" s="1" t="s">
        <v>31</v>
      </c>
      <c r="E707" s="1" t="s">
        <v>37</v>
      </c>
      <c r="F707" s="1" t="s">
        <v>38</v>
      </c>
      <c r="G707" s="1" t="s">
        <v>34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f t="shared" ref="N707:N770" si="11">IF(M707&gt;0,1,0)</f>
        <v>0</v>
      </c>
      <c r="O707" s="1">
        <v>0</v>
      </c>
      <c r="P707" s="1"/>
      <c r="Q707" s="1">
        <v>43.6</v>
      </c>
    </row>
    <row r="708" spans="1:17">
      <c r="A708" s="1" t="s">
        <v>750</v>
      </c>
      <c r="B708" s="4">
        <v>45686</v>
      </c>
      <c r="C708" s="1" t="s">
        <v>2</v>
      </c>
      <c r="D708" s="1" t="s">
        <v>31</v>
      </c>
      <c r="E708" s="1" t="s">
        <v>32</v>
      </c>
      <c r="F708" s="1" t="s">
        <v>38</v>
      </c>
      <c r="G708" s="1" t="s">
        <v>34</v>
      </c>
      <c r="H708" s="1">
        <v>1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f t="shared" si="11"/>
        <v>0</v>
      </c>
      <c r="O708" s="1">
        <v>0</v>
      </c>
      <c r="P708" s="1"/>
      <c r="Q708" s="1"/>
    </row>
    <row r="709" spans="1:17">
      <c r="A709" s="1" t="s">
        <v>751</v>
      </c>
      <c r="B709" s="4">
        <v>45788</v>
      </c>
      <c r="C709" s="1" t="s">
        <v>2</v>
      </c>
      <c r="D709" s="1" t="s">
        <v>45</v>
      </c>
      <c r="E709" s="1" t="s">
        <v>37</v>
      </c>
      <c r="F709" s="1" t="s">
        <v>33</v>
      </c>
      <c r="G709" s="1" t="s">
        <v>39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f t="shared" si="11"/>
        <v>0</v>
      </c>
      <c r="O709" s="1">
        <v>0</v>
      </c>
      <c r="P709" s="1"/>
      <c r="Q709" s="1">
        <v>55.2</v>
      </c>
    </row>
    <row r="710" spans="1:17">
      <c r="A710" s="1" t="s">
        <v>752</v>
      </c>
      <c r="B710" s="4">
        <v>45769</v>
      </c>
      <c r="C710" s="1" t="s">
        <v>2</v>
      </c>
      <c r="D710" s="1" t="s">
        <v>45</v>
      </c>
      <c r="E710" s="1" t="s">
        <v>37</v>
      </c>
      <c r="F710" s="1" t="s">
        <v>38</v>
      </c>
      <c r="G710" s="1" t="s">
        <v>34</v>
      </c>
      <c r="H710" s="1">
        <v>1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f t="shared" si="11"/>
        <v>0</v>
      </c>
      <c r="O710" s="1">
        <v>0</v>
      </c>
      <c r="P710" s="1"/>
      <c r="Q710" s="1">
        <v>49.4</v>
      </c>
    </row>
    <row r="711" spans="1:17">
      <c r="A711" s="1" t="s">
        <v>753</v>
      </c>
      <c r="B711" s="4">
        <v>45719</v>
      </c>
      <c r="C711" s="1" t="s">
        <v>2</v>
      </c>
      <c r="D711" s="1" t="s">
        <v>45</v>
      </c>
      <c r="E711" s="1" t="s">
        <v>37</v>
      </c>
      <c r="F711" s="1" t="s">
        <v>54</v>
      </c>
      <c r="G711" s="1" t="s">
        <v>39</v>
      </c>
      <c r="H711" s="1">
        <v>1</v>
      </c>
      <c r="I711" s="1">
        <v>1</v>
      </c>
      <c r="J711" s="1">
        <v>1</v>
      </c>
      <c r="K711" s="1">
        <v>0</v>
      </c>
      <c r="L711" s="1">
        <v>0</v>
      </c>
      <c r="M711" s="1">
        <v>1</v>
      </c>
      <c r="N711" s="1">
        <f t="shared" si="11"/>
        <v>1</v>
      </c>
      <c r="O711" s="1">
        <v>0</v>
      </c>
      <c r="P711" s="1"/>
      <c r="Q711" s="1">
        <v>60.1</v>
      </c>
    </row>
    <row r="712" spans="1:17">
      <c r="A712" s="1" t="s">
        <v>754</v>
      </c>
      <c r="B712" s="4">
        <v>45734</v>
      </c>
      <c r="C712" s="1" t="s">
        <v>2</v>
      </c>
      <c r="D712" s="1" t="s">
        <v>31</v>
      </c>
      <c r="E712" s="1" t="s">
        <v>37</v>
      </c>
      <c r="F712" s="1" t="s">
        <v>52</v>
      </c>
      <c r="G712" s="1" t="s">
        <v>39</v>
      </c>
      <c r="H712" s="1">
        <v>1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f t="shared" si="11"/>
        <v>0</v>
      </c>
      <c r="O712" s="1">
        <v>0</v>
      </c>
      <c r="P712" s="1"/>
      <c r="Q712" s="1">
        <v>55.9</v>
      </c>
    </row>
    <row r="713" spans="1:17">
      <c r="A713" s="1" t="s">
        <v>755</v>
      </c>
      <c r="B713" s="4">
        <v>45752</v>
      </c>
      <c r="C713" s="1" t="s">
        <v>2</v>
      </c>
      <c r="D713" s="1" t="s">
        <v>31</v>
      </c>
      <c r="E713" s="1" t="s">
        <v>37</v>
      </c>
      <c r="F713" s="1" t="s">
        <v>38</v>
      </c>
      <c r="G713" s="1" t="s">
        <v>34</v>
      </c>
      <c r="H713" s="1">
        <v>1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f t="shared" si="11"/>
        <v>0</v>
      </c>
      <c r="O713" s="1">
        <v>0</v>
      </c>
      <c r="P713" s="1"/>
      <c r="Q713" s="1">
        <v>51.5</v>
      </c>
    </row>
    <row r="714" spans="1:17">
      <c r="A714" s="1" t="s">
        <v>756</v>
      </c>
      <c r="B714" s="4">
        <v>45763</v>
      </c>
      <c r="C714" s="1" t="s">
        <v>2</v>
      </c>
      <c r="D714" s="1" t="s">
        <v>41</v>
      </c>
      <c r="E714" s="1" t="s">
        <v>37</v>
      </c>
      <c r="F714" s="1" t="s">
        <v>38</v>
      </c>
      <c r="G714" s="1" t="s">
        <v>39</v>
      </c>
      <c r="H714" s="1">
        <v>1</v>
      </c>
      <c r="I714" s="1">
        <v>1</v>
      </c>
      <c r="J714" s="1">
        <v>1</v>
      </c>
      <c r="K714" s="1">
        <v>1</v>
      </c>
      <c r="L714" s="1">
        <v>516.66999999999996</v>
      </c>
      <c r="M714" s="1">
        <v>0</v>
      </c>
      <c r="N714" s="1">
        <f t="shared" si="11"/>
        <v>0</v>
      </c>
      <c r="O714" s="1">
        <v>0</v>
      </c>
      <c r="P714" s="1">
        <v>11</v>
      </c>
      <c r="Q714" s="1">
        <v>57.9</v>
      </c>
    </row>
    <row r="715" spans="1:17">
      <c r="A715" s="1" t="s">
        <v>757</v>
      </c>
      <c r="B715" s="4">
        <v>45767</v>
      </c>
      <c r="C715" s="1" t="s">
        <v>2</v>
      </c>
      <c r="D715" s="1" t="s">
        <v>45</v>
      </c>
      <c r="E715" s="1" t="s">
        <v>37</v>
      </c>
      <c r="F715" s="1" t="s">
        <v>52</v>
      </c>
      <c r="G715" s="1" t="s">
        <v>39</v>
      </c>
      <c r="H715" s="1">
        <v>1</v>
      </c>
      <c r="I715" s="1">
        <v>1</v>
      </c>
      <c r="J715" s="1">
        <v>1</v>
      </c>
      <c r="K715" s="1">
        <v>1</v>
      </c>
      <c r="L715" s="1">
        <v>277.18</v>
      </c>
      <c r="M715" s="1">
        <v>2</v>
      </c>
      <c r="N715" s="1">
        <f t="shared" si="11"/>
        <v>1</v>
      </c>
      <c r="O715" s="1">
        <v>0</v>
      </c>
      <c r="P715" s="1">
        <v>8</v>
      </c>
      <c r="Q715" s="1">
        <v>59.2</v>
      </c>
    </row>
    <row r="716" spans="1:17">
      <c r="A716" s="1" t="s">
        <v>758</v>
      </c>
      <c r="B716" s="4">
        <v>45703</v>
      </c>
      <c r="C716" s="1" t="s">
        <v>2</v>
      </c>
      <c r="D716" s="1" t="s">
        <v>45</v>
      </c>
      <c r="E716" s="1" t="s">
        <v>37</v>
      </c>
      <c r="F716" s="1" t="s">
        <v>38</v>
      </c>
      <c r="G716" s="1" t="s">
        <v>39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f t="shared" si="11"/>
        <v>0</v>
      </c>
      <c r="O716" s="1">
        <v>0</v>
      </c>
      <c r="P716" s="1"/>
      <c r="Q716" s="1">
        <v>64.2</v>
      </c>
    </row>
    <row r="717" spans="1:17">
      <c r="A717" s="1" t="s">
        <v>759</v>
      </c>
      <c r="B717" s="4">
        <v>45678</v>
      </c>
      <c r="C717" s="1" t="s">
        <v>2</v>
      </c>
      <c r="D717" s="1" t="s">
        <v>45</v>
      </c>
      <c r="E717" s="1" t="s">
        <v>37</v>
      </c>
      <c r="F717" s="1" t="s">
        <v>38</v>
      </c>
      <c r="G717" s="1" t="s">
        <v>39</v>
      </c>
      <c r="H717" s="1">
        <v>1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f t="shared" si="11"/>
        <v>0</v>
      </c>
      <c r="O717" s="1">
        <v>0</v>
      </c>
      <c r="P717" s="1"/>
      <c r="Q717" s="1">
        <v>68.8</v>
      </c>
    </row>
    <row r="718" spans="1:17">
      <c r="A718" s="1" t="s">
        <v>760</v>
      </c>
      <c r="B718" s="4">
        <v>45800</v>
      </c>
      <c r="C718" s="1" t="s">
        <v>2</v>
      </c>
      <c r="D718" s="1" t="s">
        <v>31</v>
      </c>
      <c r="E718" s="1" t="s">
        <v>37</v>
      </c>
      <c r="F718" s="1" t="s">
        <v>42</v>
      </c>
      <c r="G718" s="1" t="s">
        <v>43</v>
      </c>
      <c r="H718" s="1">
        <v>1</v>
      </c>
      <c r="I718" s="1">
        <v>1</v>
      </c>
      <c r="J718" s="1">
        <v>1</v>
      </c>
      <c r="K718" s="1">
        <v>0</v>
      </c>
      <c r="L718" s="1">
        <v>0</v>
      </c>
      <c r="M718" s="1">
        <v>0</v>
      </c>
      <c r="N718" s="1">
        <f t="shared" si="11"/>
        <v>0</v>
      </c>
      <c r="O718" s="1">
        <v>0</v>
      </c>
      <c r="P718" s="1"/>
      <c r="Q718" s="1">
        <v>77.900000000000006</v>
      </c>
    </row>
    <row r="719" spans="1:17">
      <c r="A719" s="1" t="s">
        <v>761</v>
      </c>
      <c r="B719" s="4">
        <v>45679</v>
      </c>
      <c r="C719" s="1" t="s">
        <v>2</v>
      </c>
      <c r="D719" s="1" t="s">
        <v>36</v>
      </c>
      <c r="E719" s="1" t="s">
        <v>37</v>
      </c>
      <c r="F719" s="1" t="s">
        <v>42</v>
      </c>
      <c r="G719" s="1" t="s">
        <v>34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f t="shared" si="11"/>
        <v>0</v>
      </c>
      <c r="O719" s="1">
        <v>0</v>
      </c>
      <c r="P719" s="1"/>
      <c r="Q719" s="1">
        <v>92.1</v>
      </c>
    </row>
    <row r="720" spans="1:17">
      <c r="A720" s="1" t="s">
        <v>762</v>
      </c>
      <c r="B720" s="4">
        <v>45771</v>
      </c>
      <c r="C720" s="1" t="s">
        <v>2</v>
      </c>
      <c r="D720" s="1" t="s">
        <v>36</v>
      </c>
      <c r="E720" s="1" t="s">
        <v>37</v>
      </c>
      <c r="F720" s="1" t="s">
        <v>42</v>
      </c>
      <c r="G720" s="1" t="s">
        <v>43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f t="shared" si="11"/>
        <v>0</v>
      </c>
      <c r="O720" s="1">
        <v>0</v>
      </c>
      <c r="P720" s="1"/>
      <c r="Q720" s="1">
        <v>63.6</v>
      </c>
    </row>
    <row r="721" spans="1:17">
      <c r="A721" s="1" t="s">
        <v>763</v>
      </c>
      <c r="B721" s="4">
        <v>45674</v>
      </c>
      <c r="C721" s="1" t="s">
        <v>2</v>
      </c>
      <c r="D721" s="1" t="s">
        <v>36</v>
      </c>
      <c r="E721" s="1" t="s">
        <v>32</v>
      </c>
      <c r="F721" s="1" t="s">
        <v>33</v>
      </c>
      <c r="G721" s="1" t="s">
        <v>39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2</v>
      </c>
      <c r="N721" s="1">
        <f t="shared" si="11"/>
        <v>1</v>
      </c>
      <c r="O721" s="1">
        <v>0</v>
      </c>
      <c r="P721" s="1"/>
      <c r="Q721" s="1">
        <v>61.6</v>
      </c>
    </row>
    <row r="722" spans="1:17">
      <c r="A722" s="1" t="s">
        <v>764</v>
      </c>
      <c r="B722" s="4">
        <v>45679</v>
      </c>
      <c r="C722" s="1" t="s">
        <v>2</v>
      </c>
      <c r="D722" s="1" t="s">
        <v>41</v>
      </c>
      <c r="E722" s="1" t="s">
        <v>37</v>
      </c>
      <c r="F722" s="1" t="s">
        <v>52</v>
      </c>
      <c r="G722" s="1" t="s">
        <v>34</v>
      </c>
      <c r="H722" s="1">
        <v>1</v>
      </c>
      <c r="I722" s="1">
        <v>1</v>
      </c>
      <c r="J722" s="1">
        <v>0</v>
      </c>
      <c r="K722" s="1">
        <v>0</v>
      </c>
      <c r="L722" s="1">
        <v>0</v>
      </c>
      <c r="M722" s="1">
        <v>0</v>
      </c>
      <c r="N722" s="1">
        <f t="shared" si="11"/>
        <v>0</v>
      </c>
      <c r="O722" s="1">
        <v>0</v>
      </c>
      <c r="P722" s="1"/>
      <c r="Q722" s="1">
        <v>82.3</v>
      </c>
    </row>
    <row r="723" spans="1:17">
      <c r="A723" s="1" t="s">
        <v>765</v>
      </c>
      <c r="B723" s="4">
        <v>45781</v>
      </c>
      <c r="C723" s="1" t="s">
        <v>2</v>
      </c>
      <c r="D723" s="1" t="s">
        <v>41</v>
      </c>
      <c r="E723" s="1" t="s">
        <v>32</v>
      </c>
      <c r="F723" s="1" t="s">
        <v>42</v>
      </c>
      <c r="G723" s="1" t="s">
        <v>39</v>
      </c>
      <c r="H723" s="1">
        <v>1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f t="shared" si="11"/>
        <v>0</v>
      </c>
      <c r="O723" s="1">
        <v>0</v>
      </c>
      <c r="P723" s="1"/>
      <c r="Q723" s="1">
        <v>79.3</v>
      </c>
    </row>
    <row r="724" spans="1:17">
      <c r="A724" s="1" t="s">
        <v>766</v>
      </c>
      <c r="B724" s="4">
        <v>45729</v>
      </c>
      <c r="C724" s="1" t="s">
        <v>2</v>
      </c>
      <c r="D724" s="1" t="s">
        <v>45</v>
      </c>
      <c r="E724" s="1" t="s">
        <v>37</v>
      </c>
      <c r="F724" s="1"/>
      <c r="G724" s="1" t="s">
        <v>39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f t="shared" si="11"/>
        <v>0</v>
      </c>
      <c r="O724" s="1">
        <v>0</v>
      </c>
      <c r="P724" s="1"/>
      <c r="Q724" s="1">
        <v>57.7</v>
      </c>
    </row>
    <row r="725" spans="1:17">
      <c r="A725" s="1" t="s">
        <v>767</v>
      </c>
      <c r="B725" s="4">
        <v>45659</v>
      </c>
      <c r="C725" s="1" t="s">
        <v>2</v>
      </c>
      <c r="D725" s="1" t="s">
        <v>31</v>
      </c>
      <c r="E725" s="1" t="s">
        <v>37</v>
      </c>
      <c r="F725" s="1" t="s">
        <v>38</v>
      </c>
      <c r="G725" s="1" t="s">
        <v>34</v>
      </c>
      <c r="H725" s="1">
        <v>1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f t="shared" si="11"/>
        <v>0</v>
      </c>
      <c r="O725" s="1">
        <v>0</v>
      </c>
      <c r="P725" s="1"/>
      <c r="Q725" s="1">
        <v>63.1</v>
      </c>
    </row>
    <row r="726" spans="1:17">
      <c r="A726" s="1" t="s">
        <v>768</v>
      </c>
      <c r="B726" s="4">
        <v>45670</v>
      </c>
      <c r="C726" s="1" t="s">
        <v>2</v>
      </c>
      <c r="D726" s="1" t="s">
        <v>41</v>
      </c>
      <c r="E726" s="1" t="s">
        <v>37</v>
      </c>
      <c r="F726" s="1" t="s">
        <v>42</v>
      </c>
      <c r="G726" s="1" t="s">
        <v>34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f t="shared" si="11"/>
        <v>0</v>
      </c>
      <c r="O726" s="1">
        <v>0</v>
      </c>
      <c r="P726" s="1"/>
      <c r="Q726" s="1">
        <v>72.3</v>
      </c>
    </row>
    <row r="727" spans="1:17">
      <c r="A727" s="1" t="s">
        <v>769</v>
      </c>
      <c r="B727" s="4">
        <v>45697</v>
      </c>
      <c r="C727" s="1" t="s">
        <v>2</v>
      </c>
      <c r="D727" s="1" t="s">
        <v>41</v>
      </c>
      <c r="E727" s="1" t="s">
        <v>37</v>
      </c>
      <c r="F727" s="1" t="s">
        <v>54</v>
      </c>
      <c r="G727" s="1" t="s">
        <v>39</v>
      </c>
      <c r="H727" s="1">
        <v>1</v>
      </c>
      <c r="I727" s="1">
        <v>1</v>
      </c>
      <c r="J727" s="1">
        <v>1</v>
      </c>
      <c r="K727" s="1">
        <v>0</v>
      </c>
      <c r="L727" s="1">
        <v>0</v>
      </c>
      <c r="M727" s="1">
        <v>0</v>
      </c>
      <c r="N727" s="1">
        <f t="shared" si="11"/>
        <v>0</v>
      </c>
      <c r="O727" s="1">
        <v>0</v>
      </c>
      <c r="P727" s="1"/>
      <c r="Q727" s="1">
        <v>78</v>
      </c>
    </row>
    <row r="728" spans="1:17">
      <c r="A728" s="1" t="s">
        <v>770</v>
      </c>
      <c r="B728" s="4">
        <v>45756</v>
      </c>
      <c r="C728" s="1" t="s">
        <v>2</v>
      </c>
      <c r="D728" s="1" t="s">
        <v>41</v>
      </c>
      <c r="E728" s="1" t="s">
        <v>32</v>
      </c>
      <c r="F728" s="1" t="s">
        <v>54</v>
      </c>
      <c r="G728" s="1" t="s">
        <v>39</v>
      </c>
      <c r="H728" s="1">
        <v>1</v>
      </c>
      <c r="I728" s="1">
        <v>1</v>
      </c>
      <c r="J728" s="1">
        <v>0</v>
      </c>
      <c r="K728" s="1">
        <v>0</v>
      </c>
      <c r="L728" s="1">
        <v>0</v>
      </c>
      <c r="M728" s="1">
        <v>2</v>
      </c>
      <c r="N728" s="1">
        <f t="shared" si="11"/>
        <v>1</v>
      </c>
      <c r="O728" s="1">
        <v>0</v>
      </c>
      <c r="P728" s="1"/>
      <c r="Q728" s="1">
        <v>59.1</v>
      </c>
    </row>
    <row r="729" spans="1:17">
      <c r="A729" s="1" t="s">
        <v>771</v>
      </c>
      <c r="B729" s="4">
        <v>45659</v>
      </c>
      <c r="C729" s="1" t="s">
        <v>2</v>
      </c>
      <c r="D729" s="1" t="s">
        <v>45</v>
      </c>
      <c r="E729" s="1" t="s">
        <v>37</v>
      </c>
      <c r="F729" s="1" t="s">
        <v>42</v>
      </c>
      <c r="G729" s="1" t="s">
        <v>39</v>
      </c>
      <c r="H729" s="1">
        <v>1</v>
      </c>
      <c r="I729" s="1">
        <v>1</v>
      </c>
      <c r="J729" s="1">
        <v>1</v>
      </c>
      <c r="K729" s="1">
        <v>1</v>
      </c>
      <c r="L729" s="1">
        <v>604.09</v>
      </c>
      <c r="M729" s="1">
        <v>0</v>
      </c>
      <c r="N729" s="1">
        <f t="shared" si="11"/>
        <v>0</v>
      </c>
      <c r="O729" s="1">
        <v>0</v>
      </c>
      <c r="P729" s="1">
        <v>7</v>
      </c>
      <c r="Q729" s="1">
        <v>47.1</v>
      </c>
    </row>
    <row r="730" spans="1:17">
      <c r="A730" s="1" t="s">
        <v>772</v>
      </c>
      <c r="B730" s="4">
        <v>45692</v>
      </c>
      <c r="C730" s="1" t="s">
        <v>2</v>
      </c>
      <c r="D730" s="1" t="s">
        <v>45</v>
      </c>
      <c r="E730" s="1" t="s">
        <v>37</v>
      </c>
      <c r="F730" s="1"/>
      <c r="G730" s="1" t="s">
        <v>43</v>
      </c>
      <c r="H730" s="1">
        <v>1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f t="shared" si="11"/>
        <v>0</v>
      </c>
      <c r="O730" s="1">
        <v>0</v>
      </c>
      <c r="P730" s="1"/>
      <c r="Q730" s="1">
        <v>64.900000000000006</v>
      </c>
    </row>
    <row r="731" spans="1:17">
      <c r="A731" s="1" t="s">
        <v>773</v>
      </c>
      <c r="B731" s="4">
        <v>45707</v>
      </c>
      <c r="C731" s="1" t="s">
        <v>2</v>
      </c>
      <c r="D731" s="1" t="s">
        <v>45</v>
      </c>
      <c r="E731" s="1" t="s">
        <v>47</v>
      </c>
      <c r="F731" s="1" t="s">
        <v>42</v>
      </c>
      <c r="G731" s="1" t="s">
        <v>39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f t="shared" si="11"/>
        <v>0</v>
      </c>
      <c r="O731" s="1">
        <v>0</v>
      </c>
      <c r="P731" s="1"/>
      <c r="Q731" s="1">
        <v>67.3</v>
      </c>
    </row>
    <row r="732" spans="1:17">
      <c r="A732" s="1" t="s">
        <v>774</v>
      </c>
      <c r="B732" s="4">
        <v>45748</v>
      </c>
      <c r="C732" s="1" t="s">
        <v>2</v>
      </c>
      <c r="D732" s="1" t="s">
        <v>41</v>
      </c>
      <c r="E732" s="1" t="s">
        <v>37</v>
      </c>
      <c r="F732" s="1" t="s">
        <v>42</v>
      </c>
      <c r="G732" s="1" t="s">
        <v>34</v>
      </c>
      <c r="H732" s="1">
        <v>1</v>
      </c>
      <c r="I732" s="1">
        <v>0</v>
      </c>
      <c r="J732" s="1">
        <v>0</v>
      </c>
      <c r="K732" s="1">
        <v>0</v>
      </c>
      <c r="L732" s="1">
        <v>0</v>
      </c>
      <c r="M732" s="1">
        <v>2</v>
      </c>
      <c r="N732" s="1">
        <f t="shared" si="11"/>
        <v>1</v>
      </c>
      <c r="O732" s="1">
        <v>0</v>
      </c>
      <c r="P732" s="1"/>
      <c r="Q732" s="1">
        <v>52.9</v>
      </c>
    </row>
    <row r="733" spans="1:17">
      <c r="A733" s="1" t="s">
        <v>775</v>
      </c>
      <c r="B733" s="4">
        <v>45686</v>
      </c>
      <c r="C733" s="1" t="s">
        <v>2</v>
      </c>
      <c r="D733" s="1" t="s">
        <v>31</v>
      </c>
      <c r="E733" s="1" t="s">
        <v>37</v>
      </c>
      <c r="F733" s="1" t="s">
        <v>52</v>
      </c>
      <c r="G733" s="1" t="s">
        <v>39</v>
      </c>
      <c r="H733" s="1">
        <v>1</v>
      </c>
      <c r="I733" s="1">
        <v>1</v>
      </c>
      <c r="J733" s="1">
        <v>1</v>
      </c>
      <c r="K733" s="1">
        <v>1</v>
      </c>
      <c r="L733" s="1">
        <v>442.37</v>
      </c>
      <c r="M733" s="1">
        <v>1</v>
      </c>
      <c r="N733" s="1">
        <f t="shared" si="11"/>
        <v>1</v>
      </c>
      <c r="O733" s="1">
        <v>0</v>
      </c>
      <c r="P733" s="1">
        <v>4</v>
      </c>
      <c r="Q733" s="1">
        <v>69.900000000000006</v>
      </c>
    </row>
    <row r="734" spans="1:17">
      <c r="A734" s="1" t="s">
        <v>776</v>
      </c>
      <c r="B734" s="4">
        <v>45795</v>
      </c>
      <c r="C734" s="1" t="s">
        <v>2</v>
      </c>
      <c r="D734" s="1" t="s">
        <v>31</v>
      </c>
      <c r="E734" s="1" t="s">
        <v>37</v>
      </c>
      <c r="F734" s="1" t="s">
        <v>52</v>
      </c>
      <c r="G734" s="1" t="s">
        <v>34</v>
      </c>
      <c r="H734" s="1">
        <v>1</v>
      </c>
      <c r="I734" s="1">
        <v>1</v>
      </c>
      <c r="J734" s="1">
        <v>1</v>
      </c>
      <c r="K734" s="1">
        <v>0</v>
      </c>
      <c r="L734" s="1">
        <v>0</v>
      </c>
      <c r="M734" s="1">
        <v>0</v>
      </c>
      <c r="N734" s="1">
        <f t="shared" si="11"/>
        <v>0</v>
      </c>
      <c r="O734" s="1">
        <v>0</v>
      </c>
      <c r="P734" s="1"/>
      <c r="Q734" s="1">
        <v>78.900000000000006</v>
      </c>
    </row>
    <row r="735" spans="1:17">
      <c r="A735" s="1" t="s">
        <v>777</v>
      </c>
      <c r="B735" s="4">
        <v>45762</v>
      </c>
      <c r="C735" s="1" t="s">
        <v>2</v>
      </c>
      <c r="D735" s="1" t="s">
        <v>41</v>
      </c>
      <c r="E735" s="1" t="s">
        <v>32</v>
      </c>
      <c r="F735" s="1" t="s">
        <v>54</v>
      </c>
      <c r="G735" s="1" t="s">
        <v>43</v>
      </c>
      <c r="H735" s="1">
        <v>1</v>
      </c>
      <c r="I735" s="1">
        <v>1</v>
      </c>
      <c r="J735" s="1">
        <v>0</v>
      </c>
      <c r="K735" s="1">
        <v>0</v>
      </c>
      <c r="L735" s="1">
        <v>0</v>
      </c>
      <c r="M735" s="1">
        <v>0</v>
      </c>
      <c r="N735" s="1">
        <f t="shared" si="11"/>
        <v>0</v>
      </c>
      <c r="O735" s="1">
        <v>0</v>
      </c>
      <c r="P735" s="1"/>
      <c r="Q735" s="1">
        <v>83.3</v>
      </c>
    </row>
    <row r="736" spans="1:17">
      <c r="A736" s="1" t="s">
        <v>778</v>
      </c>
      <c r="B736" s="4">
        <v>45744</v>
      </c>
      <c r="C736" s="1" t="s">
        <v>2</v>
      </c>
      <c r="D736" s="1" t="s">
        <v>41</v>
      </c>
      <c r="E736" s="1" t="s">
        <v>32</v>
      </c>
      <c r="F736" s="1" t="s">
        <v>33</v>
      </c>
      <c r="G736" s="1" t="s">
        <v>39</v>
      </c>
      <c r="H736" s="1">
        <v>1</v>
      </c>
      <c r="I736" s="1">
        <v>0</v>
      </c>
      <c r="J736" s="1">
        <v>0</v>
      </c>
      <c r="K736" s="1">
        <v>0</v>
      </c>
      <c r="L736" s="1">
        <v>0</v>
      </c>
      <c r="M736" s="1">
        <v>1</v>
      </c>
      <c r="N736" s="1">
        <f t="shared" si="11"/>
        <v>1</v>
      </c>
      <c r="O736" s="1">
        <v>0</v>
      </c>
      <c r="P736" s="1"/>
      <c r="Q736" s="1">
        <v>24.5</v>
      </c>
    </row>
    <row r="737" spans="1:17">
      <c r="A737" s="1" t="s">
        <v>779</v>
      </c>
      <c r="B737" s="4">
        <v>45748</v>
      </c>
      <c r="C737" s="1" t="s">
        <v>2</v>
      </c>
      <c r="D737" s="1" t="s">
        <v>36</v>
      </c>
      <c r="E737" s="1" t="s">
        <v>37</v>
      </c>
      <c r="F737" s="1" t="s">
        <v>42</v>
      </c>
      <c r="G737" s="1" t="s">
        <v>34</v>
      </c>
      <c r="H737" s="1">
        <v>1</v>
      </c>
      <c r="I737" s="1">
        <v>1</v>
      </c>
      <c r="J737" s="1">
        <v>0</v>
      </c>
      <c r="K737" s="1">
        <v>0</v>
      </c>
      <c r="L737" s="1">
        <v>0</v>
      </c>
      <c r="M737" s="1">
        <v>1</v>
      </c>
      <c r="N737" s="1">
        <f t="shared" si="11"/>
        <v>1</v>
      </c>
      <c r="O737" s="1">
        <v>0</v>
      </c>
      <c r="P737" s="1"/>
      <c r="Q737" s="1">
        <v>56.9</v>
      </c>
    </row>
    <row r="738" spans="1:17">
      <c r="A738" s="1" t="s">
        <v>780</v>
      </c>
      <c r="B738" s="4">
        <v>45699</v>
      </c>
      <c r="C738" s="1" t="s">
        <v>2</v>
      </c>
      <c r="D738" s="1" t="s">
        <v>36</v>
      </c>
      <c r="E738" s="1" t="s">
        <v>37</v>
      </c>
      <c r="F738" s="1" t="s">
        <v>54</v>
      </c>
      <c r="G738" s="1" t="s">
        <v>34</v>
      </c>
      <c r="H738" s="1">
        <v>1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f t="shared" si="11"/>
        <v>0</v>
      </c>
      <c r="O738" s="1">
        <v>0</v>
      </c>
      <c r="P738" s="1"/>
      <c r="Q738" s="1">
        <v>69.900000000000006</v>
      </c>
    </row>
    <row r="739" spans="1:17">
      <c r="A739" s="1" t="s">
        <v>781</v>
      </c>
      <c r="B739" s="4">
        <v>45720</v>
      </c>
      <c r="C739" s="1" t="s">
        <v>2</v>
      </c>
      <c r="D739" s="1" t="s">
        <v>45</v>
      </c>
      <c r="E739" s="1" t="s">
        <v>37</v>
      </c>
      <c r="F739" s="1" t="s">
        <v>38</v>
      </c>
      <c r="G739" s="1" t="s">
        <v>39</v>
      </c>
      <c r="H739" s="1">
        <v>1</v>
      </c>
      <c r="I739" s="1">
        <v>1</v>
      </c>
      <c r="J739" s="1">
        <v>1</v>
      </c>
      <c r="K739" s="1">
        <v>0</v>
      </c>
      <c r="L739" s="1">
        <v>0</v>
      </c>
      <c r="M739" s="1">
        <v>0</v>
      </c>
      <c r="N739" s="1">
        <f t="shared" si="11"/>
        <v>0</v>
      </c>
      <c r="O739" s="1">
        <v>0</v>
      </c>
      <c r="P739" s="1"/>
      <c r="Q739" s="1">
        <v>81.5</v>
      </c>
    </row>
    <row r="740" spans="1:17">
      <c r="A740" s="1" t="s">
        <v>782</v>
      </c>
      <c r="B740" s="4">
        <v>45678</v>
      </c>
      <c r="C740" s="1" t="s">
        <v>2</v>
      </c>
      <c r="D740" s="1" t="s">
        <v>31</v>
      </c>
      <c r="E740" s="1" t="s">
        <v>47</v>
      </c>
      <c r="F740" s="1" t="s">
        <v>54</v>
      </c>
      <c r="G740" s="1" t="s">
        <v>34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2</v>
      </c>
      <c r="N740" s="1">
        <f t="shared" si="11"/>
        <v>1</v>
      </c>
      <c r="O740" s="1">
        <v>0</v>
      </c>
      <c r="P740" s="1"/>
      <c r="Q740" s="1">
        <v>37.9</v>
      </c>
    </row>
    <row r="741" spans="1:17">
      <c r="A741" s="1" t="s">
        <v>783</v>
      </c>
      <c r="B741" s="4">
        <v>45702</v>
      </c>
      <c r="C741" s="1" t="s">
        <v>2</v>
      </c>
      <c r="D741" s="1" t="s">
        <v>31</v>
      </c>
      <c r="E741" s="1" t="s">
        <v>37</v>
      </c>
      <c r="F741" s="1" t="s">
        <v>52</v>
      </c>
      <c r="G741" s="1" t="s">
        <v>39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1</v>
      </c>
      <c r="N741" s="1">
        <f t="shared" si="11"/>
        <v>1</v>
      </c>
      <c r="O741" s="1">
        <v>0</v>
      </c>
      <c r="P741" s="1"/>
      <c r="Q741" s="1">
        <v>61.7</v>
      </c>
    </row>
    <row r="742" spans="1:17">
      <c r="A742" s="1" t="s">
        <v>784</v>
      </c>
      <c r="B742" s="4">
        <v>45746</v>
      </c>
      <c r="C742" s="1" t="s">
        <v>2</v>
      </c>
      <c r="D742" s="1" t="s">
        <v>31</v>
      </c>
      <c r="E742" s="1" t="s">
        <v>32</v>
      </c>
      <c r="F742" s="1"/>
      <c r="G742" s="1" t="s">
        <v>43</v>
      </c>
      <c r="H742" s="1">
        <v>1</v>
      </c>
      <c r="I742" s="1">
        <v>0</v>
      </c>
      <c r="J742" s="1">
        <v>0</v>
      </c>
      <c r="K742" s="1">
        <v>0</v>
      </c>
      <c r="L742" s="1">
        <v>0</v>
      </c>
      <c r="M742" s="1">
        <v>2</v>
      </c>
      <c r="N742" s="1">
        <f t="shared" si="11"/>
        <v>1</v>
      </c>
      <c r="O742" s="1">
        <v>0</v>
      </c>
      <c r="P742" s="1"/>
      <c r="Q742" s="1">
        <v>53.2</v>
      </c>
    </row>
    <row r="743" spans="1:17">
      <c r="A743" s="1" t="s">
        <v>785</v>
      </c>
      <c r="B743" s="4">
        <v>45665</v>
      </c>
      <c r="C743" s="1" t="s">
        <v>2</v>
      </c>
      <c r="D743" s="1" t="s">
        <v>31</v>
      </c>
      <c r="E743" s="1" t="s">
        <v>37</v>
      </c>
      <c r="F743" s="1" t="s">
        <v>52</v>
      </c>
      <c r="G743" s="1" t="s">
        <v>39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f t="shared" si="11"/>
        <v>0</v>
      </c>
      <c r="O743" s="1">
        <v>0</v>
      </c>
      <c r="P743" s="1"/>
      <c r="Q743" s="1">
        <v>61.9</v>
      </c>
    </row>
    <row r="744" spans="1:17">
      <c r="A744" s="1" t="s">
        <v>786</v>
      </c>
      <c r="B744" s="4">
        <v>45695</v>
      </c>
      <c r="C744" s="1" t="s">
        <v>2</v>
      </c>
      <c r="D744" s="1" t="s">
        <v>31</v>
      </c>
      <c r="E744" s="1" t="s">
        <v>37</v>
      </c>
      <c r="F744" s="1" t="s">
        <v>54</v>
      </c>
      <c r="G744" s="1" t="s">
        <v>39</v>
      </c>
      <c r="H744" s="1">
        <v>1</v>
      </c>
      <c r="I744" s="1">
        <v>1</v>
      </c>
      <c r="J744" s="1">
        <v>1</v>
      </c>
      <c r="K744" s="1">
        <v>0</v>
      </c>
      <c r="L744" s="1">
        <v>0</v>
      </c>
      <c r="M744" s="1">
        <v>0</v>
      </c>
      <c r="N744" s="1">
        <f t="shared" si="11"/>
        <v>0</v>
      </c>
      <c r="O744" s="1">
        <v>0</v>
      </c>
      <c r="P744" s="1"/>
      <c r="Q744" s="1">
        <v>68.900000000000006</v>
      </c>
    </row>
    <row r="745" spans="1:17">
      <c r="A745" s="1" t="s">
        <v>787</v>
      </c>
      <c r="B745" s="4">
        <v>45689</v>
      </c>
      <c r="C745" s="1" t="s">
        <v>2</v>
      </c>
      <c r="D745" s="1" t="s">
        <v>31</v>
      </c>
      <c r="E745" s="1" t="s">
        <v>47</v>
      </c>
      <c r="F745" s="1" t="s">
        <v>42</v>
      </c>
      <c r="G745" s="1" t="s">
        <v>34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f t="shared" si="11"/>
        <v>0</v>
      </c>
      <c r="O745" s="1">
        <v>0</v>
      </c>
      <c r="P745" s="1"/>
      <c r="Q745" s="1">
        <v>66.3</v>
      </c>
    </row>
    <row r="746" spans="1:17">
      <c r="A746" s="1" t="s">
        <v>788</v>
      </c>
      <c r="B746" s="4">
        <v>45661</v>
      </c>
      <c r="C746" s="1" t="s">
        <v>2</v>
      </c>
      <c r="D746" s="1" t="s">
        <v>41</v>
      </c>
      <c r="E746" s="1" t="s">
        <v>37</v>
      </c>
      <c r="F746" s="1" t="s">
        <v>33</v>
      </c>
      <c r="G746" s="1" t="s">
        <v>39</v>
      </c>
      <c r="H746" s="1">
        <v>1</v>
      </c>
      <c r="I746" s="1">
        <v>1</v>
      </c>
      <c r="J746" s="1">
        <v>1</v>
      </c>
      <c r="K746" s="1">
        <v>0</v>
      </c>
      <c r="L746" s="1">
        <v>0</v>
      </c>
      <c r="M746" s="1">
        <v>0</v>
      </c>
      <c r="N746" s="1">
        <f t="shared" si="11"/>
        <v>0</v>
      </c>
      <c r="O746" s="1">
        <v>0</v>
      </c>
      <c r="P746" s="1"/>
      <c r="Q746" s="1">
        <v>54.6</v>
      </c>
    </row>
    <row r="747" spans="1:17">
      <c r="A747" s="1" t="s">
        <v>789</v>
      </c>
      <c r="B747" s="4">
        <v>45793</v>
      </c>
      <c r="C747" s="1" t="s">
        <v>2</v>
      </c>
      <c r="D747" s="1" t="s">
        <v>45</v>
      </c>
      <c r="E747" s="1" t="s">
        <v>32</v>
      </c>
      <c r="F747" s="1" t="s">
        <v>52</v>
      </c>
      <c r="G747" s="1" t="s">
        <v>39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f t="shared" si="11"/>
        <v>0</v>
      </c>
      <c r="O747" s="1">
        <v>0</v>
      </c>
      <c r="P747" s="1"/>
      <c r="Q747" s="1">
        <v>53.8</v>
      </c>
    </row>
    <row r="748" spans="1:17">
      <c r="A748" s="1" t="s">
        <v>790</v>
      </c>
      <c r="B748" s="4">
        <v>45716</v>
      </c>
      <c r="C748" s="1" t="s">
        <v>2</v>
      </c>
      <c r="D748" s="1" t="s">
        <v>36</v>
      </c>
      <c r="E748" s="1" t="s">
        <v>37</v>
      </c>
      <c r="F748" s="1" t="s">
        <v>52</v>
      </c>
      <c r="G748" s="1" t="s">
        <v>39</v>
      </c>
      <c r="H748" s="1">
        <v>1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f t="shared" si="11"/>
        <v>0</v>
      </c>
      <c r="O748" s="1">
        <v>0</v>
      </c>
      <c r="P748" s="1"/>
      <c r="Q748" s="1">
        <v>59.5</v>
      </c>
    </row>
    <row r="749" spans="1:17">
      <c r="A749" s="1" t="s">
        <v>791</v>
      </c>
      <c r="B749" s="4">
        <v>45759</v>
      </c>
      <c r="C749" s="1" t="s">
        <v>2</v>
      </c>
      <c r="D749" s="1" t="s">
        <v>31</v>
      </c>
      <c r="E749" s="1" t="s">
        <v>37</v>
      </c>
      <c r="F749" s="1" t="s">
        <v>52</v>
      </c>
      <c r="G749" s="1" t="s">
        <v>39</v>
      </c>
      <c r="H749" s="1">
        <v>1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f t="shared" si="11"/>
        <v>0</v>
      </c>
      <c r="O749" s="1">
        <v>0</v>
      </c>
      <c r="P749" s="1"/>
      <c r="Q749" s="1">
        <v>52.6</v>
      </c>
    </row>
    <row r="750" spans="1:17">
      <c r="A750" s="1" t="s">
        <v>792</v>
      </c>
      <c r="B750" s="4">
        <v>45739</v>
      </c>
      <c r="C750" s="1" t="s">
        <v>2</v>
      </c>
      <c r="D750" s="1" t="s">
        <v>45</v>
      </c>
      <c r="E750" s="1" t="s">
        <v>32</v>
      </c>
      <c r="F750" s="1" t="s">
        <v>38</v>
      </c>
      <c r="G750" s="1" t="s">
        <v>39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f t="shared" si="11"/>
        <v>0</v>
      </c>
      <c r="O750" s="1">
        <v>0</v>
      </c>
      <c r="P750" s="1"/>
      <c r="Q750" s="1">
        <v>49</v>
      </c>
    </row>
    <row r="751" spans="1:17">
      <c r="A751" s="1" t="s">
        <v>793</v>
      </c>
      <c r="B751" s="4">
        <v>45806</v>
      </c>
      <c r="C751" s="1" t="s">
        <v>2</v>
      </c>
      <c r="D751" s="1" t="s">
        <v>31</v>
      </c>
      <c r="E751" s="1" t="s">
        <v>47</v>
      </c>
      <c r="F751" s="1" t="s">
        <v>38</v>
      </c>
      <c r="G751" s="1" t="s">
        <v>39</v>
      </c>
      <c r="H751" s="1">
        <v>1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f t="shared" si="11"/>
        <v>0</v>
      </c>
      <c r="O751" s="1">
        <v>0</v>
      </c>
      <c r="P751" s="1"/>
      <c r="Q751" s="1">
        <v>59.3</v>
      </c>
    </row>
    <row r="752" spans="1:17">
      <c r="A752" s="1" t="s">
        <v>794</v>
      </c>
      <c r="B752" s="4">
        <v>45798</v>
      </c>
      <c r="C752" s="1" t="s">
        <v>2</v>
      </c>
      <c r="D752" s="1" t="s">
        <v>45</v>
      </c>
      <c r="E752" s="1" t="s">
        <v>32</v>
      </c>
      <c r="F752" s="1" t="s">
        <v>38</v>
      </c>
      <c r="G752" s="1" t="s">
        <v>34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f t="shared" si="11"/>
        <v>0</v>
      </c>
      <c r="O752" s="1">
        <v>0</v>
      </c>
      <c r="P752" s="1"/>
      <c r="Q752" s="1">
        <v>67.2</v>
      </c>
    </row>
    <row r="753" spans="1:17">
      <c r="A753" s="1" t="s">
        <v>795</v>
      </c>
      <c r="B753" s="4">
        <v>45662</v>
      </c>
      <c r="C753" s="1" t="s">
        <v>2</v>
      </c>
      <c r="D753" s="1" t="s">
        <v>45</v>
      </c>
      <c r="E753" s="1" t="s">
        <v>37</v>
      </c>
      <c r="F753" s="1" t="s">
        <v>52</v>
      </c>
      <c r="G753" s="1" t="s">
        <v>43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f t="shared" si="11"/>
        <v>0</v>
      </c>
      <c r="O753" s="1">
        <v>0</v>
      </c>
      <c r="P753" s="1"/>
      <c r="Q753" s="1">
        <v>73.5</v>
      </c>
    </row>
    <row r="754" spans="1:17">
      <c r="A754" s="1" t="s">
        <v>796</v>
      </c>
      <c r="B754" s="4">
        <v>45735</v>
      </c>
      <c r="C754" s="1" t="s">
        <v>2</v>
      </c>
      <c r="D754" s="1" t="s">
        <v>41</v>
      </c>
      <c r="E754" s="1" t="s">
        <v>47</v>
      </c>
      <c r="F754" s="1" t="s">
        <v>38</v>
      </c>
      <c r="G754" s="1" t="s">
        <v>39</v>
      </c>
      <c r="H754" s="1">
        <v>1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f t="shared" si="11"/>
        <v>0</v>
      </c>
      <c r="O754" s="1">
        <v>0</v>
      </c>
      <c r="P754" s="1"/>
      <c r="Q754" s="1">
        <v>61.2</v>
      </c>
    </row>
    <row r="755" spans="1:17">
      <c r="A755" s="1" t="s">
        <v>797</v>
      </c>
      <c r="B755" s="4">
        <v>45771</v>
      </c>
      <c r="C755" s="1" t="s">
        <v>2</v>
      </c>
      <c r="D755" s="1" t="s">
        <v>41</v>
      </c>
      <c r="E755" s="1" t="s">
        <v>37</v>
      </c>
      <c r="F755" s="1" t="s">
        <v>38</v>
      </c>
      <c r="G755" s="1" t="s">
        <v>39</v>
      </c>
      <c r="H755" s="1">
        <v>1</v>
      </c>
      <c r="I755" s="1">
        <v>0</v>
      </c>
      <c r="J755" s="1">
        <v>0</v>
      </c>
      <c r="K755" s="1">
        <v>0</v>
      </c>
      <c r="L755" s="1">
        <v>0</v>
      </c>
      <c r="M755" s="1">
        <v>1</v>
      </c>
      <c r="N755" s="1">
        <f t="shared" si="11"/>
        <v>1</v>
      </c>
      <c r="O755" s="1">
        <v>0</v>
      </c>
      <c r="P755" s="1"/>
      <c r="Q755" s="1">
        <v>56.4</v>
      </c>
    </row>
    <row r="756" spans="1:17">
      <c r="A756" s="1" t="s">
        <v>798</v>
      </c>
      <c r="B756" s="4">
        <v>45726</v>
      </c>
      <c r="C756" s="1" t="s">
        <v>2</v>
      </c>
      <c r="D756" s="1" t="s">
        <v>31</v>
      </c>
      <c r="E756" s="1" t="s">
        <v>47</v>
      </c>
      <c r="F756" s="1" t="s">
        <v>38</v>
      </c>
      <c r="G756" s="1" t="s">
        <v>39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3</v>
      </c>
      <c r="N756" s="1">
        <f t="shared" si="11"/>
        <v>1</v>
      </c>
      <c r="O756" s="1">
        <v>0</v>
      </c>
      <c r="P756" s="1"/>
      <c r="Q756" s="1">
        <v>72.599999999999994</v>
      </c>
    </row>
    <row r="757" spans="1:17">
      <c r="A757" s="1" t="s">
        <v>799</v>
      </c>
      <c r="B757" s="4">
        <v>45710</v>
      </c>
      <c r="C757" s="1" t="s">
        <v>2</v>
      </c>
      <c r="D757" s="1" t="s">
        <v>45</v>
      </c>
      <c r="E757" s="1" t="s">
        <v>47</v>
      </c>
      <c r="F757" s="1" t="s">
        <v>52</v>
      </c>
      <c r="G757" s="1" t="s">
        <v>34</v>
      </c>
      <c r="H757" s="1">
        <v>1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f t="shared" si="11"/>
        <v>0</v>
      </c>
      <c r="O757" s="1">
        <v>0</v>
      </c>
      <c r="P757" s="1"/>
      <c r="Q757" s="1">
        <v>61.7</v>
      </c>
    </row>
    <row r="758" spans="1:17">
      <c r="A758" s="1" t="s">
        <v>800</v>
      </c>
      <c r="B758" s="4">
        <v>45794</v>
      </c>
      <c r="C758" s="1" t="s">
        <v>2</v>
      </c>
      <c r="D758" s="1" t="s">
        <v>41</v>
      </c>
      <c r="E758" s="1" t="s">
        <v>37</v>
      </c>
      <c r="F758" s="1" t="s">
        <v>54</v>
      </c>
      <c r="G758" s="1" t="s">
        <v>39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1</v>
      </c>
      <c r="N758" s="1">
        <f t="shared" si="11"/>
        <v>1</v>
      </c>
      <c r="O758" s="1">
        <v>0</v>
      </c>
      <c r="P758" s="1"/>
      <c r="Q758" s="1">
        <v>66.900000000000006</v>
      </c>
    </row>
    <row r="759" spans="1:17">
      <c r="A759" s="1" t="s">
        <v>801</v>
      </c>
      <c r="B759" s="4">
        <v>45786</v>
      </c>
      <c r="C759" s="1" t="s">
        <v>2</v>
      </c>
      <c r="D759" s="1" t="s">
        <v>41</v>
      </c>
      <c r="E759" s="1" t="s">
        <v>47</v>
      </c>
      <c r="F759" s="1" t="s">
        <v>52</v>
      </c>
      <c r="G759" s="1" t="s">
        <v>43</v>
      </c>
      <c r="H759" s="1">
        <v>1</v>
      </c>
      <c r="I759" s="1">
        <v>1</v>
      </c>
      <c r="J759" s="1">
        <v>1</v>
      </c>
      <c r="K759" s="1">
        <v>1</v>
      </c>
      <c r="L759" s="1">
        <v>1506.24</v>
      </c>
      <c r="M759" s="1">
        <v>1</v>
      </c>
      <c r="N759" s="1">
        <f t="shared" si="11"/>
        <v>1</v>
      </c>
      <c r="O759" s="1">
        <v>0</v>
      </c>
      <c r="P759" s="1">
        <v>7</v>
      </c>
      <c r="Q759" s="1">
        <v>64.900000000000006</v>
      </c>
    </row>
    <row r="760" spans="1:17">
      <c r="A760" s="1" t="s">
        <v>802</v>
      </c>
      <c r="B760" s="4">
        <v>45773</v>
      </c>
      <c r="C760" s="1" t="s">
        <v>2</v>
      </c>
      <c r="D760" s="1" t="s">
        <v>41</v>
      </c>
      <c r="E760" s="1" t="s">
        <v>47</v>
      </c>
      <c r="F760" s="1" t="s">
        <v>38</v>
      </c>
      <c r="G760" s="1" t="s">
        <v>43</v>
      </c>
      <c r="H760" s="1">
        <v>1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f t="shared" si="11"/>
        <v>0</v>
      </c>
      <c r="O760" s="1">
        <v>0</v>
      </c>
      <c r="P760" s="1"/>
      <c r="Q760" s="1">
        <v>57.5</v>
      </c>
    </row>
    <row r="761" spans="1:17">
      <c r="A761" s="1" t="s">
        <v>803</v>
      </c>
      <c r="B761" s="4">
        <v>45731</v>
      </c>
      <c r="C761" s="1" t="s">
        <v>2</v>
      </c>
      <c r="D761" s="1" t="s">
        <v>36</v>
      </c>
      <c r="E761" s="1" t="s">
        <v>32</v>
      </c>
      <c r="F761" s="1" t="s">
        <v>54</v>
      </c>
      <c r="G761" s="1" t="s">
        <v>39</v>
      </c>
      <c r="H761" s="1">
        <v>1</v>
      </c>
      <c r="I761" s="1">
        <v>1</v>
      </c>
      <c r="J761" s="1">
        <v>1</v>
      </c>
      <c r="K761" s="1">
        <v>0</v>
      </c>
      <c r="L761" s="1">
        <v>0</v>
      </c>
      <c r="M761" s="1">
        <v>0</v>
      </c>
      <c r="N761" s="1">
        <f t="shared" si="11"/>
        <v>0</v>
      </c>
      <c r="O761" s="1">
        <v>0</v>
      </c>
      <c r="P761" s="1"/>
      <c r="Q761" s="1">
        <v>76.3</v>
      </c>
    </row>
    <row r="762" spans="1:17">
      <c r="A762" s="1" t="s">
        <v>804</v>
      </c>
      <c r="B762" s="4">
        <v>45750</v>
      </c>
      <c r="C762" s="1" t="s">
        <v>2</v>
      </c>
      <c r="D762" s="1" t="s">
        <v>31</v>
      </c>
      <c r="E762" s="1" t="s">
        <v>37</v>
      </c>
      <c r="F762" s="1" t="s">
        <v>42</v>
      </c>
      <c r="G762" s="1" t="s">
        <v>39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f t="shared" si="11"/>
        <v>0</v>
      </c>
      <c r="O762" s="1">
        <v>0</v>
      </c>
      <c r="P762" s="1"/>
      <c r="Q762" s="1">
        <v>47.5</v>
      </c>
    </row>
    <row r="763" spans="1:17">
      <c r="A763" s="1" t="s">
        <v>805</v>
      </c>
      <c r="B763" s="4">
        <v>45742</v>
      </c>
      <c r="C763" s="1" t="s">
        <v>2</v>
      </c>
      <c r="D763" s="1" t="s">
        <v>45</v>
      </c>
      <c r="E763" s="1" t="s">
        <v>37</v>
      </c>
      <c r="F763" s="1" t="s">
        <v>42</v>
      </c>
      <c r="G763" s="1" t="s">
        <v>39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f t="shared" si="11"/>
        <v>0</v>
      </c>
      <c r="O763" s="1">
        <v>0</v>
      </c>
      <c r="P763" s="1"/>
      <c r="Q763" s="1"/>
    </row>
    <row r="764" spans="1:17">
      <c r="A764" s="1" t="s">
        <v>806</v>
      </c>
      <c r="B764" s="4">
        <v>45693</v>
      </c>
      <c r="C764" s="1" t="s">
        <v>2</v>
      </c>
      <c r="D764" s="1" t="s">
        <v>36</v>
      </c>
      <c r="E764" s="1" t="s">
        <v>32</v>
      </c>
      <c r="F764" s="1" t="s">
        <v>38</v>
      </c>
      <c r="G764" s="1" t="s">
        <v>34</v>
      </c>
      <c r="H764" s="1">
        <v>1</v>
      </c>
      <c r="I764" s="1">
        <v>1</v>
      </c>
      <c r="J764" s="1">
        <v>0</v>
      </c>
      <c r="K764" s="1">
        <v>0</v>
      </c>
      <c r="L764" s="1">
        <v>0</v>
      </c>
      <c r="M764" s="1">
        <v>2</v>
      </c>
      <c r="N764" s="1">
        <f t="shared" si="11"/>
        <v>1</v>
      </c>
      <c r="O764" s="1">
        <v>0</v>
      </c>
      <c r="P764" s="1"/>
      <c r="Q764" s="1">
        <v>71.599999999999994</v>
      </c>
    </row>
    <row r="765" spans="1:17">
      <c r="A765" s="1" t="s">
        <v>807</v>
      </c>
      <c r="B765" s="4">
        <v>45785</v>
      </c>
      <c r="C765" s="1" t="s">
        <v>2</v>
      </c>
      <c r="D765" s="1" t="s">
        <v>45</v>
      </c>
      <c r="E765" s="1" t="s">
        <v>37</v>
      </c>
      <c r="F765" s="1" t="s">
        <v>54</v>
      </c>
      <c r="G765" s="1" t="s">
        <v>34</v>
      </c>
      <c r="H765" s="1">
        <v>1</v>
      </c>
      <c r="I765" s="1">
        <v>1</v>
      </c>
      <c r="J765" s="1">
        <v>0</v>
      </c>
      <c r="K765" s="1">
        <v>0</v>
      </c>
      <c r="L765" s="1">
        <v>0</v>
      </c>
      <c r="M765" s="1">
        <v>0</v>
      </c>
      <c r="N765" s="1">
        <f t="shared" si="11"/>
        <v>0</v>
      </c>
      <c r="O765" s="1">
        <v>0</v>
      </c>
      <c r="P765" s="1"/>
      <c r="Q765" s="1">
        <v>55.8</v>
      </c>
    </row>
    <row r="766" spans="1:17">
      <c r="A766" s="1" t="s">
        <v>808</v>
      </c>
      <c r="B766" s="4">
        <v>45741</v>
      </c>
      <c r="C766" s="1" t="s">
        <v>2</v>
      </c>
      <c r="D766" s="1" t="s">
        <v>45</v>
      </c>
      <c r="E766" s="1" t="s">
        <v>32</v>
      </c>
      <c r="F766" s="1" t="s">
        <v>38</v>
      </c>
      <c r="G766" s="1" t="s">
        <v>34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1</v>
      </c>
      <c r="N766" s="1">
        <f t="shared" si="11"/>
        <v>1</v>
      </c>
      <c r="O766" s="1">
        <v>0</v>
      </c>
      <c r="P766" s="1"/>
      <c r="Q766" s="1">
        <v>60.1</v>
      </c>
    </row>
    <row r="767" spans="1:17">
      <c r="A767" s="1" t="s">
        <v>809</v>
      </c>
      <c r="B767" s="4">
        <v>45671</v>
      </c>
      <c r="C767" s="1" t="s">
        <v>2</v>
      </c>
      <c r="D767" s="1" t="s">
        <v>36</v>
      </c>
      <c r="E767" s="1"/>
      <c r="F767" s="1" t="s">
        <v>33</v>
      </c>
      <c r="G767" s="1" t="s">
        <v>34</v>
      </c>
      <c r="H767" s="1">
        <v>1</v>
      </c>
      <c r="I767" s="1">
        <v>1</v>
      </c>
      <c r="J767" s="1">
        <v>1</v>
      </c>
      <c r="K767" s="1">
        <v>0</v>
      </c>
      <c r="L767" s="1">
        <v>0</v>
      </c>
      <c r="M767" s="1">
        <v>1</v>
      </c>
      <c r="N767" s="1">
        <f t="shared" si="11"/>
        <v>1</v>
      </c>
      <c r="O767" s="1">
        <v>0</v>
      </c>
      <c r="P767" s="1"/>
      <c r="Q767" s="1">
        <v>59.3</v>
      </c>
    </row>
    <row r="768" spans="1:17">
      <c r="A768" s="1" t="s">
        <v>810</v>
      </c>
      <c r="B768" s="4">
        <v>45742</v>
      </c>
      <c r="C768" s="1" t="s">
        <v>2</v>
      </c>
      <c r="D768" s="1" t="s">
        <v>31</v>
      </c>
      <c r="E768" s="1" t="s">
        <v>37</v>
      </c>
      <c r="F768" s="1" t="s">
        <v>38</v>
      </c>
      <c r="G768" s="1" t="s">
        <v>39</v>
      </c>
      <c r="H768" s="1">
        <v>1</v>
      </c>
      <c r="I768" s="1">
        <v>1</v>
      </c>
      <c r="J768" s="1">
        <v>0</v>
      </c>
      <c r="K768" s="1">
        <v>0</v>
      </c>
      <c r="L768" s="1">
        <v>0</v>
      </c>
      <c r="M768" s="1">
        <v>2</v>
      </c>
      <c r="N768" s="1">
        <f t="shared" si="11"/>
        <v>1</v>
      </c>
      <c r="O768" s="1">
        <v>0</v>
      </c>
      <c r="P768" s="1"/>
      <c r="Q768" s="1">
        <v>49.3</v>
      </c>
    </row>
    <row r="769" spans="1:17">
      <c r="A769" s="1" t="s">
        <v>811</v>
      </c>
      <c r="B769" s="4">
        <v>45673</v>
      </c>
      <c r="C769" s="1" t="s">
        <v>2</v>
      </c>
      <c r="D769" s="1" t="s">
        <v>41</v>
      </c>
      <c r="E769" s="1" t="s">
        <v>37</v>
      </c>
      <c r="F769" s="1" t="s">
        <v>52</v>
      </c>
      <c r="G769" s="1" t="s">
        <v>39</v>
      </c>
      <c r="H769" s="1">
        <v>1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f t="shared" si="11"/>
        <v>0</v>
      </c>
      <c r="O769" s="1">
        <v>0</v>
      </c>
      <c r="P769" s="1"/>
      <c r="Q769" s="1">
        <v>75</v>
      </c>
    </row>
    <row r="770" spans="1:17">
      <c r="A770" s="1" t="s">
        <v>812</v>
      </c>
      <c r="B770" s="4">
        <v>45661</v>
      </c>
      <c r="C770" s="1" t="s">
        <v>2</v>
      </c>
      <c r="D770" s="1" t="s">
        <v>41</v>
      </c>
      <c r="E770" s="1" t="s">
        <v>37</v>
      </c>
      <c r="F770" s="1" t="s">
        <v>54</v>
      </c>
      <c r="G770" s="1" t="s">
        <v>39</v>
      </c>
      <c r="H770" s="1">
        <v>1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f t="shared" si="11"/>
        <v>0</v>
      </c>
      <c r="O770" s="1">
        <v>0</v>
      </c>
      <c r="P770" s="1"/>
      <c r="Q770" s="1">
        <v>70.2</v>
      </c>
    </row>
    <row r="771" spans="1:17">
      <c r="A771" s="1" t="s">
        <v>813</v>
      </c>
      <c r="B771" s="4">
        <v>45697</v>
      </c>
      <c r="C771" s="1" t="s">
        <v>2</v>
      </c>
      <c r="D771" s="1" t="s">
        <v>45</v>
      </c>
      <c r="E771" s="1" t="s">
        <v>32</v>
      </c>
      <c r="F771" s="1" t="s">
        <v>38</v>
      </c>
      <c r="G771" s="1" t="s">
        <v>43</v>
      </c>
      <c r="H771" s="1">
        <v>1</v>
      </c>
      <c r="I771" s="1">
        <v>1</v>
      </c>
      <c r="J771" s="1">
        <v>1</v>
      </c>
      <c r="K771" s="1">
        <v>0</v>
      </c>
      <c r="L771" s="1">
        <v>0</v>
      </c>
      <c r="M771" s="1">
        <v>0</v>
      </c>
      <c r="N771" s="1">
        <f t="shared" ref="N771:N834" si="12">IF(M771&gt;0,1,0)</f>
        <v>0</v>
      </c>
      <c r="O771" s="1">
        <v>0</v>
      </c>
      <c r="P771" s="1"/>
      <c r="Q771" s="1">
        <v>56.6</v>
      </c>
    </row>
    <row r="772" spans="1:17">
      <c r="A772" s="1" t="s">
        <v>814</v>
      </c>
      <c r="B772" s="4">
        <v>45721</v>
      </c>
      <c r="C772" s="1" t="s">
        <v>2</v>
      </c>
      <c r="D772" s="1" t="s">
        <v>41</v>
      </c>
      <c r="E772" s="1" t="s">
        <v>32</v>
      </c>
      <c r="F772" s="1" t="s">
        <v>38</v>
      </c>
      <c r="G772" s="1" t="s">
        <v>39</v>
      </c>
      <c r="H772" s="1">
        <v>1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f t="shared" si="12"/>
        <v>0</v>
      </c>
      <c r="O772" s="1">
        <v>0</v>
      </c>
      <c r="P772" s="1"/>
      <c r="Q772" s="1">
        <v>65.400000000000006</v>
      </c>
    </row>
    <row r="773" spans="1:17">
      <c r="A773" s="1" t="s">
        <v>815</v>
      </c>
      <c r="B773" s="4">
        <v>45726</v>
      </c>
      <c r="C773" s="1" t="s">
        <v>2</v>
      </c>
      <c r="D773" s="1" t="s">
        <v>41</v>
      </c>
      <c r="E773" s="1" t="s">
        <v>37</v>
      </c>
      <c r="F773" s="1" t="s">
        <v>52</v>
      </c>
      <c r="G773" s="1" t="s">
        <v>34</v>
      </c>
      <c r="H773" s="1">
        <v>1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f t="shared" si="12"/>
        <v>0</v>
      </c>
      <c r="O773" s="1">
        <v>0</v>
      </c>
      <c r="P773" s="1"/>
      <c r="Q773" s="1">
        <v>47.6</v>
      </c>
    </row>
    <row r="774" spans="1:17">
      <c r="A774" s="1" t="s">
        <v>816</v>
      </c>
      <c r="B774" s="4">
        <v>45715</v>
      </c>
      <c r="C774" s="1" t="s">
        <v>2</v>
      </c>
      <c r="D774" s="1" t="s">
        <v>41</v>
      </c>
      <c r="E774" s="1" t="s">
        <v>32</v>
      </c>
      <c r="F774" s="1" t="s">
        <v>42</v>
      </c>
      <c r="G774" s="1" t="s">
        <v>39</v>
      </c>
      <c r="H774" s="1">
        <v>1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f t="shared" si="12"/>
        <v>0</v>
      </c>
      <c r="O774" s="1">
        <v>0</v>
      </c>
      <c r="P774" s="1"/>
      <c r="Q774" s="1">
        <v>56.7</v>
      </c>
    </row>
    <row r="775" spans="1:17">
      <c r="A775" s="1" t="s">
        <v>817</v>
      </c>
      <c r="B775" s="4">
        <v>45726</v>
      </c>
      <c r="C775" s="1" t="s">
        <v>2</v>
      </c>
      <c r="D775" s="1" t="s">
        <v>31</v>
      </c>
      <c r="E775" s="1" t="s">
        <v>32</v>
      </c>
      <c r="F775" s="1" t="s">
        <v>52</v>
      </c>
      <c r="G775" s="1" t="s">
        <v>34</v>
      </c>
      <c r="H775" s="1">
        <v>1</v>
      </c>
      <c r="I775" s="1">
        <v>1</v>
      </c>
      <c r="J775" s="1">
        <v>0</v>
      </c>
      <c r="K775" s="1">
        <v>0</v>
      </c>
      <c r="L775" s="1">
        <v>0</v>
      </c>
      <c r="M775" s="1">
        <v>0</v>
      </c>
      <c r="N775" s="1">
        <f t="shared" si="12"/>
        <v>0</v>
      </c>
      <c r="O775" s="1">
        <v>0</v>
      </c>
      <c r="P775" s="1"/>
      <c r="Q775" s="1">
        <v>71.400000000000006</v>
      </c>
    </row>
    <row r="776" spans="1:17">
      <c r="A776" s="1" t="s">
        <v>818</v>
      </c>
      <c r="B776" s="4">
        <v>45770</v>
      </c>
      <c r="C776" s="1" t="s">
        <v>2</v>
      </c>
      <c r="D776" s="1" t="s">
        <v>36</v>
      </c>
      <c r="E776" s="1" t="s">
        <v>37</v>
      </c>
      <c r="F776" s="1" t="s">
        <v>54</v>
      </c>
      <c r="G776" s="1" t="s">
        <v>39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2</v>
      </c>
      <c r="N776" s="1">
        <f t="shared" si="12"/>
        <v>1</v>
      </c>
      <c r="O776" s="1">
        <v>0</v>
      </c>
      <c r="P776" s="1"/>
      <c r="Q776" s="1">
        <v>60.5</v>
      </c>
    </row>
    <row r="777" spans="1:17">
      <c r="A777" s="1" t="s">
        <v>819</v>
      </c>
      <c r="B777" s="4">
        <v>45759</v>
      </c>
      <c r="C777" s="1" t="s">
        <v>2</v>
      </c>
      <c r="D777" s="1" t="s">
        <v>31</v>
      </c>
      <c r="E777" s="1" t="s">
        <v>32</v>
      </c>
      <c r="F777" s="1" t="s">
        <v>42</v>
      </c>
      <c r="G777" s="1" t="s">
        <v>39</v>
      </c>
      <c r="H777" s="1">
        <v>1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f t="shared" si="12"/>
        <v>0</v>
      </c>
      <c r="O777" s="1">
        <v>0</v>
      </c>
      <c r="P777" s="1"/>
      <c r="Q777" s="1">
        <v>46.7</v>
      </c>
    </row>
    <row r="778" spans="1:17">
      <c r="A778" s="1" t="s">
        <v>820</v>
      </c>
      <c r="B778" s="4">
        <v>45683</v>
      </c>
      <c r="C778" s="1" t="s">
        <v>2</v>
      </c>
      <c r="D778" s="1" t="s">
        <v>41</v>
      </c>
      <c r="E778" s="1" t="s">
        <v>32</v>
      </c>
      <c r="F778" s="1" t="s">
        <v>52</v>
      </c>
      <c r="G778" s="1" t="s">
        <v>39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f t="shared" si="12"/>
        <v>0</v>
      </c>
      <c r="O778" s="1">
        <v>0</v>
      </c>
      <c r="P778" s="1"/>
      <c r="Q778" s="1">
        <v>61</v>
      </c>
    </row>
    <row r="779" spans="1:17">
      <c r="A779" s="1" t="s">
        <v>821</v>
      </c>
      <c r="B779" s="4">
        <v>45801</v>
      </c>
      <c r="C779" s="1" t="s">
        <v>2</v>
      </c>
      <c r="D779" s="1" t="s">
        <v>36</v>
      </c>
      <c r="E779" s="1" t="s">
        <v>47</v>
      </c>
      <c r="F779" s="1" t="s">
        <v>42</v>
      </c>
      <c r="G779" s="1" t="s">
        <v>39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f t="shared" si="12"/>
        <v>0</v>
      </c>
      <c r="O779" s="1">
        <v>0</v>
      </c>
      <c r="P779" s="1"/>
      <c r="Q779" s="1">
        <v>60.9</v>
      </c>
    </row>
    <row r="780" spans="1:17">
      <c r="A780" s="1" t="s">
        <v>822</v>
      </c>
      <c r="B780" s="4">
        <v>45665</v>
      </c>
      <c r="C780" s="1" t="s">
        <v>2</v>
      </c>
      <c r="D780" s="1" t="s">
        <v>45</v>
      </c>
      <c r="E780" s="1" t="s">
        <v>37</v>
      </c>
      <c r="F780" s="1" t="s">
        <v>38</v>
      </c>
      <c r="G780" s="1" t="s">
        <v>39</v>
      </c>
      <c r="H780" s="1">
        <v>1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f t="shared" si="12"/>
        <v>0</v>
      </c>
      <c r="O780" s="1">
        <v>0</v>
      </c>
      <c r="P780" s="1"/>
      <c r="Q780" s="1">
        <v>67.099999999999994</v>
      </c>
    </row>
    <row r="781" spans="1:17">
      <c r="A781" s="1" t="s">
        <v>823</v>
      </c>
      <c r="B781" s="4">
        <v>45762</v>
      </c>
      <c r="C781" s="1" t="s">
        <v>2</v>
      </c>
      <c r="D781" s="1" t="s">
        <v>31</v>
      </c>
      <c r="E781" s="1" t="s">
        <v>37</v>
      </c>
      <c r="F781" s="1" t="s">
        <v>52</v>
      </c>
      <c r="G781" s="1" t="s">
        <v>39</v>
      </c>
      <c r="H781" s="1">
        <v>1</v>
      </c>
      <c r="I781" s="1">
        <v>1</v>
      </c>
      <c r="J781" s="1">
        <v>0</v>
      </c>
      <c r="K781" s="1">
        <v>0</v>
      </c>
      <c r="L781" s="1">
        <v>0</v>
      </c>
      <c r="M781" s="1">
        <v>0</v>
      </c>
      <c r="N781" s="1">
        <f t="shared" si="12"/>
        <v>0</v>
      </c>
      <c r="O781" s="1">
        <v>0</v>
      </c>
      <c r="P781" s="1"/>
      <c r="Q781" s="1">
        <v>59.6</v>
      </c>
    </row>
    <row r="782" spans="1:17">
      <c r="A782" s="1" t="s">
        <v>824</v>
      </c>
      <c r="B782" s="4">
        <v>45672</v>
      </c>
      <c r="C782" s="1" t="s">
        <v>2</v>
      </c>
      <c r="D782" s="1" t="s">
        <v>45</v>
      </c>
      <c r="E782" s="1" t="s">
        <v>32</v>
      </c>
      <c r="F782" s="1" t="s">
        <v>42</v>
      </c>
      <c r="G782" s="1" t="s">
        <v>39</v>
      </c>
      <c r="H782" s="1">
        <v>1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f t="shared" si="12"/>
        <v>0</v>
      </c>
      <c r="O782" s="1">
        <v>0</v>
      </c>
      <c r="P782" s="1"/>
      <c r="Q782" s="1">
        <v>83.8</v>
      </c>
    </row>
    <row r="783" spans="1:17">
      <c r="A783" s="1" t="s">
        <v>825</v>
      </c>
      <c r="B783" s="4">
        <v>45716</v>
      </c>
      <c r="C783" s="1" t="s">
        <v>2</v>
      </c>
      <c r="D783" s="1" t="s">
        <v>31</v>
      </c>
      <c r="E783" s="1" t="s">
        <v>37</v>
      </c>
      <c r="F783" s="1" t="s">
        <v>38</v>
      </c>
      <c r="G783" s="1" t="s">
        <v>34</v>
      </c>
      <c r="H783" s="1">
        <v>1</v>
      </c>
      <c r="I783" s="1">
        <v>1</v>
      </c>
      <c r="J783" s="1">
        <v>1</v>
      </c>
      <c r="K783" s="1">
        <v>0</v>
      </c>
      <c r="L783" s="1">
        <v>0</v>
      </c>
      <c r="M783" s="1">
        <v>0</v>
      </c>
      <c r="N783" s="1">
        <f t="shared" si="12"/>
        <v>0</v>
      </c>
      <c r="O783" s="1">
        <v>0</v>
      </c>
      <c r="P783" s="1"/>
      <c r="Q783" s="1">
        <v>70.8</v>
      </c>
    </row>
    <row r="784" spans="1:17">
      <c r="A784" s="1" t="s">
        <v>826</v>
      </c>
      <c r="B784" s="4">
        <v>45658</v>
      </c>
      <c r="C784" s="1" t="s">
        <v>2</v>
      </c>
      <c r="D784" s="1" t="s">
        <v>31</v>
      </c>
      <c r="E784" s="1" t="s">
        <v>47</v>
      </c>
      <c r="F784" s="1" t="s">
        <v>38</v>
      </c>
      <c r="G784" s="1" t="s">
        <v>34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f t="shared" si="12"/>
        <v>0</v>
      </c>
      <c r="O784" s="1">
        <v>0</v>
      </c>
      <c r="P784" s="1"/>
      <c r="Q784" s="1">
        <v>65.900000000000006</v>
      </c>
    </row>
    <row r="785" spans="1:17">
      <c r="A785" s="1" t="s">
        <v>827</v>
      </c>
      <c r="B785" s="4">
        <v>45764</v>
      </c>
      <c r="C785" s="1" t="s">
        <v>2</v>
      </c>
      <c r="D785" s="1" t="s">
        <v>36</v>
      </c>
      <c r="E785" s="1" t="s">
        <v>37</v>
      </c>
      <c r="F785" s="1" t="s">
        <v>52</v>
      </c>
      <c r="G785" s="1" t="s">
        <v>39</v>
      </c>
      <c r="H785" s="1">
        <v>1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f t="shared" si="12"/>
        <v>0</v>
      </c>
      <c r="O785" s="1">
        <v>0</v>
      </c>
      <c r="P785" s="1"/>
      <c r="Q785" s="1">
        <v>58</v>
      </c>
    </row>
    <row r="786" spans="1:17">
      <c r="A786" s="1" t="s">
        <v>828</v>
      </c>
      <c r="B786" s="4">
        <v>45707</v>
      </c>
      <c r="C786" s="1" t="s">
        <v>2</v>
      </c>
      <c r="D786" s="1" t="s">
        <v>31</v>
      </c>
      <c r="E786" s="1" t="s">
        <v>37</v>
      </c>
      <c r="F786" s="1" t="s">
        <v>33</v>
      </c>
      <c r="G786" s="1" t="s">
        <v>34</v>
      </c>
      <c r="H786" s="1">
        <v>1</v>
      </c>
      <c r="I786" s="1">
        <v>1</v>
      </c>
      <c r="J786" s="1">
        <v>0</v>
      </c>
      <c r="K786" s="1">
        <v>0</v>
      </c>
      <c r="L786" s="1">
        <v>0</v>
      </c>
      <c r="M786" s="1">
        <v>0</v>
      </c>
      <c r="N786" s="1">
        <f t="shared" si="12"/>
        <v>0</v>
      </c>
      <c r="O786" s="1">
        <v>0</v>
      </c>
      <c r="P786" s="1"/>
      <c r="Q786" s="1">
        <v>80.3</v>
      </c>
    </row>
    <row r="787" spans="1:17">
      <c r="A787" s="1" t="s">
        <v>829</v>
      </c>
      <c r="B787" s="4">
        <v>45730</v>
      </c>
      <c r="C787" s="1" t="s">
        <v>2</v>
      </c>
      <c r="D787" s="1" t="s">
        <v>31</v>
      </c>
      <c r="E787" s="1" t="s">
        <v>32</v>
      </c>
      <c r="F787" s="1" t="s">
        <v>38</v>
      </c>
      <c r="G787" s="1" t="s">
        <v>39</v>
      </c>
      <c r="H787" s="1">
        <v>1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f t="shared" si="12"/>
        <v>0</v>
      </c>
      <c r="O787" s="1">
        <v>0</v>
      </c>
      <c r="P787" s="1"/>
      <c r="Q787" s="1">
        <v>55.7</v>
      </c>
    </row>
    <row r="788" spans="1:17">
      <c r="A788" s="1" t="s">
        <v>830</v>
      </c>
      <c r="B788" s="4">
        <v>45768</v>
      </c>
      <c r="C788" s="1" t="s">
        <v>2</v>
      </c>
      <c r="D788" s="1" t="s">
        <v>31</v>
      </c>
      <c r="E788" s="1" t="s">
        <v>37</v>
      </c>
      <c r="F788" s="1" t="s">
        <v>38</v>
      </c>
      <c r="G788" s="1" t="s">
        <v>39</v>
      </c>
      <c r="H788" s="1">
        <v>1</v>
      </c>
      <c r="I788" s="1">
        <v>1</v>
      </c>
      <c r="J788" s="1">
        <v>0</v>
      </c>
      <c r="K788" s="1">
        <v>0</v>
      </c>
      <c r="L788" s="1">
        <v>0</v>
      </c>
      <c r="M788" s="1">
        <v>0</v>
      </c>
      <c r="N788" s="1">
        <f t="shared" si="12"/>
        <v>0</v>
      </c>
      <c r="O788" s="1">
        <v>0</v>
      </c>
      <c r="P788" s="1"/>
      <c r="Q788" s="1">
        <v>84.9</v>
      </c>
    </row>
    <row r="789" spans="1:17">
      <c r="A789" s="1" t="s">
        <v>831</v>
      </c>
      <c r="B789" s="4">
        <v>45702</v>
      </c>
      <c r="C789" s="1" t="s">
        <v>2</v>
      </c>
      <c r="D789" s="1" t="s">
        <v>31</v>
      </c>
      <c r="E789" s="1" t="s">
        <v>37</v>
      </c>
      <c r="F789" s="1" t="s">
        <v>38</v>
      </c>
      <c r="G789" s="1" t="s">
        <v>39</v>
      </c>
      <c r="H789" s="1">
        <v>1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f t="shared" si="12"/>
        <v>0</v>
      </c>
      <c r="O789" s="1">
        <v>0</v>
      </c>
      <c r="P789" s="1"/>
      <c r="Q789" s="1">
        <v>63.3</v>
      </c>
    </row>
    <row r="790" spans="1:17">
      <c r="A790" s="1" t="s">
        <v>832</v>
      </c>
      <c r="B790" s="4">
        <v>45807</v>
      </c>
      <c r="C790" s="1" t="s">
        <v>2</v>
      </c>
      <c r="D790" s="1" t="s">
        <v>36</v>
      </c>
      <c r="E790" s="1" t="s">
        <v>37</v>
      </c>
      <c r="F790" s="1" t="s">
        <v>38</v>
      </c>
      <c r="G790" s="1" t="s">
        <v>39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f t="shared" si="12"/>
        <v>0</v>
      </c>
      <c r="O790" s="1">
        <v>0</v>
      </c>
      <c r="P790" s="1"/>
      <c r="Q790" s="1">
        <v>53.1</v>
      </c>
    </row>
    <row r="791" spans="1:17">
      <c r="A791" s="1" t="s">
        <v>833</v>
      </c>
      <c r="B791" s="4">
        <v>45677</v>
      </c>
      <c r="C791" s="1" t="s">
        <v>2</v>
      </c>
      <c r="D791" s="1" t="s">
        <v>36</v>
      </c>
      <c r="E791" s="1" t="s">
        <v>37</v>
      </c>
      <c r="F791" s="1" t="s">
        <v>38</v>
      </c>
      <c r="G791" s="1" t="s">
        <v>39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f t="shared" si="12"/>
        <v>0</v>
      </c>
      <c r="O791" s="1">
        <v>0</v>
      </c>
      <c r="P791" s="1"/>
      <c r="Q791" s="1">
        <v>66</v>
      </c>
    </row>
    <row r="792" spans="1:17">
      <c r="A792" s="1" t="s">
        <v>834</v>
      </c>
      <c r="B792" s="4">
        <v>45733</v>
      </c>
      <c r="C792" s="1" t="s">
        <v>2</v>
      </c>
      <c r="D792" s="1" t="s">
        <v>36</v>
      </c>
      <c r="E792" s="1" t="s">
        <v>37</v>
      </c>
      <c r="F792" s="1" t="s">
        <v>54</v>
      </c>
      <c r="G792" s="1" t="s">
        <v>43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f t="shared" si="12"/>
        <v>0</v>
      </c>
      <c r="O792" s="1">
        <v>0</v>
      </c>
      <c r="P792" s="1"/>
      <c r="Q792" s="1">
        <v>54.7</v>
      </c>
    </row>
    <row r="793" spans="1:17">
      <c r="A793" s="1" t="s">
        <v>835</v>
      </c>
      <c r="B793" s="4">
        <v>45720</v>
      </c>
      <c r="C793" s="1" t="s">
        <v>2</v>
      </c>
      <c r="D793" s="1" t="s">
        <v>36</v>
      </c>
      <c r="E793" s="1" t="s">
        <v>37</v>
      </c>
      <c r="F793" s="1" t="s">
        <v>54</v>
      </c>
      <c r="G793" s="1" t="s">
        <v>39</v>
      </c>
      <c r="H793" s="1">
        <v>1</v>
      </c>
      <c r="I793" s="1">
        <v>1</v>
      </c>
      <c r="J793" s="1">
        <v>0</v>
      </c>
      <c r="K793" s="1">
        <v>0</v>
      </c>
      <c r="L793" s="1">
        <v>0</v>
      </c>
      <c r="M793" s="1">
        <v>1</v>
      </c>
      <c r="N793" s="1">
        <f t="shared" si="12"/>
        <v>1</v>
      </c>
      <c r="O793" s="1">
        <v>0</v>
      </c>
      <c r="P793" s="1"/>
      <c r="Q793" s="1">
        <v>41.2</v>
      </c>
    </row>
    <row r="794" spans="1:17">
      <c r="A794" s="1" t="s">
        <v>836</v>
      </c>
      <c r="B794" s="4">
        <v>45710</v>
      </c>
      <c r="C794" s="1" t="s">
        <v>2</v>
      </c>
      <c r="D794" s="1" t="s">
        <v>45</v>
      </c>
      <c r="E794" s="1" t="s">
        <v>37</v>
      </c>
      <c r="F794" s="1" t="s">
        <v>38</v>
      </c>
      <c r="G794" s="1" t="s">
        <v>43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f t="shared" si="12"/>
        <v>0</v>
      </c>
      <c r="O794" s="1">
        <v>0</v>
      </c>
      <c r="P794" s="1"/>
      <c r="Q794" s="1">
        <v>66.7</v>
      </c>
    </row>
    <row r="795" spans="1:17">
      <c r="A795" s="1" t="s">
        <v>837</v>
      </c>
      <c r="B795" s="4">
        <v>45779</v>
      </c>
      <c r="C795" s="1" t="s">
        <v>2</v>
      </c>
      <c r="D795" s="1" t="s">
        <v>31</v>
      </c>
      <c r="E795" s="1" t="s">
        <v>37</v>
      </c>
      <c r="F795" s="1" t="s">
        <v>42</v>
      </c>
      <c r="G795" s="1" t="s">
        <v>43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f t="shared" si="12"/>
        <v>0</v>
      </c>
      <c r="O795" s="1">
        <v>0</v>
      </c>
      <c r="P795" s="1"/>
      <c r="Q795" s="1">
        <v>39.4</v>
      </c>
    </row>
    <row r="796" spans="1:17">
      <c r="A796" s="1" t="s">
        <v>838</v>
      </c>
      <c r="B796" s="4">
        <v>45729</v>
      </c>
      <c r="C796" s="1" t="s">
        <v>2</v>
      </c>
      <c r="D796" s="1" t="s">
        <v>36</v>
      </c>
      <c r="E796" s="1" t="s">
        <v>32</v>
      </c>
      <c r="F796" s="1" t="s">
        <v>38</v>
      </c>
      <c r="G796" s="1" t="s">
        <v>43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3</v>
      </c>
      <c r="N796" s="1">
        <f t="shared" si="12"/>
        <v>1</v>
      </c>
      <c r="O796" s="1">
        <v>0</v>
      </c>
      <c r="P796" s="1"/>
      <c r="Q796" s="1">
        <v>67</v>
      </c>
    </row>
    <row r="797" spans="1:17">
      <c r="A797" s="1" t="s">
        <v>839</v>
      </c>
      <c r="B797" s="4">
        <v>45808</v>
      </c>
      <c r="C797" s="1" t="s">
        <v>2</v>
      </c>
      <c r="D797" s="1" t="s">
        <v>45</v>
      </c>
      <c r="E797" s="1" t="s">
        <v>37</v>
      </c>
      <c r="F797" s="1" t="s">
        <v>38</v>
      </c>
      <c r="G797" s="1" t="s">
        <v>34</v>
      </c>
      <c r="H797" s="1">
        <v>1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f t="shared" si="12"/>
        <v>0</v>
      </c>
      <c r="O797" s="1">
        <v>0</v>
      </c>
      <c r="P797" s="1"/>
      <c r="Q797" s="1">
        <v>50.4</v>
      </c>
    </row>
    <row r="798" spans="1:17">
      <c r="A798" s="1" t="s">
        <v>840</v>
      </c>
      <c r="B798" s="4">
        <v>45723</v>
      </c>
      <c r="C798" s="1" t="s">
        <v>2</v>
      </c>
      <c r="D798" s="1" t="s">
        <v>36</v>
      </c>
      <c r="E798" s="1" t="s">
        <v>32</v>
      </c>
      <c r="F798" s="1" t="s">
        <v>54</v>
      </c>
      <c r="G798" s="1" t="s">
        <v>39</v>
      </c>
      <c r="H798" s="1">
        <v>1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f t="shared" si="12"/>
        <v>0</v>
      </c>
      <c r="O798" s="1">
        <v>0</v>
      </c>
      <c r="P798" s="1"/>
      <c r="Q798" s="1">
        <v>53.8</v>
      </c>
    </row>
    <row r="799" spans="1:17">
      <c r="A799" s="1" t="s">
        <v>841</v>
      </c>
      <c r="B799" s="4">
        <v>45710</v>
      </c>
      <c r="C799" s="1" t="s">
        <v>2</v>
      </c>
      <c r="D799" s="1" t="s">
        <v>36</v>
      </c>
      <c r="E799" s="1" t="s">
        <v>37</v>
      </c>
      <c r="F799" s="1" t="s">
        <v>42</v>
      </c>
      <c r="G799" s="1" t="s">
        <v>34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1</v>
      </c>
      <c r="N799" s="1">
        <f t="shared" si="12"/>
        <v>1</v>
      </c>
      <c r="O799" s="1">
        <v>0</v>
      </c>
      <c r="P799" s="1"/>
      <c r="Q799" s="1">
        <v>82.7</v>
      </c>
    </row>
    <row r="800" spans="1:17">
      <c r="A800" s="1" t="s">
        <v>842</v>
      </c>
      <c r="B800" s="4">
        <v>45662</v>
      </c>
      <c r="C800" s="1" t="s">
        <v>2</v>
      </c>
      <c r="D800" s="1" t="s">
        <v>36</v>
      </c>
      <c r="E800" s="1" t="s">
        <v>32</v>
      </c>
      <c r="F800" s="1" t="s">
        <v>42</v>
      </c>
      <c r="G800" s="1" t="s">
        <v>39</v>
      </c>
      <c r="H800" s="1">
        <v>1</v>
      </c>
      <c r="I800" s="1">
        <v>1</v>
      </c>
      <c r="J800" s="1">
        <v>1</v>
      </c>
      <c r="K800" s="1">
        <v>0</v>
      </c>
      <c r="L800" s="1">
        <v>0</v>
      </c>
      <c r="M800" s="1">
        <v>0</v>
      </c>
      <c r="N800" s="1">
        <f t="shared" si="12"/>
        <v>0</v>
      </c>
      <c r="O800" s="1">
        <v>0</v>
      </c>
      <c r="P800" s="1"/>
      <c r="Q800" s="1">
        <v>63.9</v>
      </c>
    </row>
    <row r="801" spans="1:17">
      <c r="A801" s="1" t="s">
        <v>843</v>
      </c>
      <c r="B801" s="4">
        <v>45678</v>
      </c>
      <c r="C801" s="1" t="s">
        <v>2</v>
      </c>
      <c r="D801" s="1" t="s">
        <v>36</v>
      </c>
      <c r="E801" s="1" t="s">
        <v>37</v>
      </c>
      <c r="F801" s="1" t="s">
        <v>52</v>
      </c>
      <c r="G801" s="1" t="s">
        <v>39</v>
      </c>
      <c r="H801" s="1">
        <v>1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f t="shared" si="12"/>
        <v>0</v>
      </c>
      <c r="O801" s="1">
        <v>0</v>
      </c>
      <c r="P801" s="1"/>
      <c r="Q801" s="1">
        <v>61.9</v>
      </c>
    </row>
    <row r="802" spans="1:17">
      <c r="A802" s="1" t="s">
        <v>844</v>
      </c>
      <c r="B802" s="4">
        <v>45682</v>
      </c>
      <c r="C802" s="1" t="s">
        <v>2</v>
      </c>
      <c r="D802" s="1" t="s">
        <v>31</v>
      </c>
      <c r="E802" s="1" t="s">
        <v>32</v>
      </c>
      <c r="F802" s="1" t="s">
        <v>54</v>
      </c>
      <c r="G802" s="1" t="s">
        <v>39</v>
      </c>
      <c r="H802" s="1">
        <v>1</v>
      </c>
      <c r="I802" s="1">
        <v>1</v>
      </c>
      <c r="J802" s="1">
        <v>1</v>
      </c>
      <c r="K802" s="1">
        <v>0</v>
      </c>
      <c r="L802" s="1">
        <v>0</v>
      </c>
      <c r="M802" s="1">
        <v>0</v>
      </c>
      <c r="N802" s="1">
        <f t="shared" si="12"/>
        <v>0</v>
      </c>
      <c r="O802" s="1">
        <v>0</v>
      </c>
      <c r="P802" s="1"/>
      <c r="Q802" s="1">
        <v>75</v>
      </c>
    </row>
    <row r="803" spans="1:17">
      <c r="A803" s="1" t="s">
        <v>845</v>
      </c>
      <c r="B803" s="4">
        <v>45751</v>
      </c>
      <c r="C803" s="1" t="s">
        <v>2</v>
      </c>
      <c r="D803" s="1" t="s">
        <v>36</v>
      </c>
      <c r="E803" s="1" t="s">
        <v>37</v>
      </c>
      <c r="F803" s="1" t="s">
        <v>42</v>
      </c>
      <c r="G803" s="1" t="s">
        <v>34</v>
      </c>
      <c r="H803" s="1">
        <v>1</v>
      </c>
      <c r="I803" s="1">
        <v>1</v>
      </c>
      <c r="J803" s="1">
        <v>1</v>
      </c>
      <c r="K803" s="1">
        <v>0</v>
      </c>
      <c r="L803" s="1">
        <v>0</v>
      </c>
      <c r="M803" s="1">
        <v>0</v>
      </c>
      <c r="N803" s="1">
        <f t="shared" si="12"/>
        <v>0</v>
      </c>
      <c r="O803" s="1">
        <v>0</v>
      </c>
      <c r="P803" s="1"/>
      <c r="Q803" s="1">
        <v>43</v>
      </c>
    </row>
    <row r="804" spans="1:17">
      <c r="A804" s="1" t="s">
        <v>846</v>
      </c>
      <c r="B804" s="4">
        <v>45741</v>
      </c>
      <c r="C804" s="1" t="s">
        <v>2</v>
      </c>
      <c r="D804" s="1" t="s">
        <v>31</v>
      </c>
      <c r="E804" s="1" t="s">
        <v>32</v>
      </c>
      <c r="F804" s="1" t="s">
        <v>54</v>
      </c>
      <c r="G804" s="1" t="s">
        <v>43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f t="shared" si="12"/>
        <v>0</v>
      </c>
      <c r="O804" s="1">
        <v>0</v>
      </c>
      <c r="P804" s="1"/>
      <c r="Q804" s="1">
        <v>54.3</v>
      </c>
    </row>
    <row r="805" spans="1:17">
      <c r="A805" s="1" t="s">
        <v>847</v>
      </c>
      <c r="B805" s="4">
        <v>45735</v>
      </c>
      <c r="C805" s="1" t="s">
        <v>2</v>
      </c>
      <c r="D805" s="1" t="s">
        <v>36</v>
      </c>
      <c r="E805" s="1" t="s">
        <v>37</v>
      </c>
      <c r="F805" s="1" t="s">
        <v>54</v>
      </c>
      <c r="G805" s="1" t="s">
        <v>39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2</v>
      </c>
      <c r="N805" s="1">
        <f t="shared" si="12"/>
        <v>1</v>
      </c>
      <c r="O805" s="1">
        <v>0</v>
      </c>
      <c r="P805" s="1"/>
      <c r="Q805" s="1">
        <v>44.3</v>
      </c>
    </row>
    <row r="806" spans="1:17">
      <c r="A806" s="1" t="s">
        <v>848</v>
      </c>
      <c r="B806" s="4">
        <v>45771</v>
      </c>
      <c r="C806" s="1" t="s">
        <v>2</v>
      </c>
      <c r="D806" s="1" t="s">
        <v>36</v>
      </c>
      <c r="E806" s="1" t="s">
        <v>32</v>
      </c>
      <c r="F806" s="1" t="s">
        <v>38</v>
      </c>
      <c r="G806" s="1" t="s">
        <v>39</v>
      </c>
      <c r="H806" s="1">
        <v>1</v>
      </c>
      <c r="I806" s="1">
        <v>1</v>
      </c>
      <c r="J806" s="1">
        <v>1</v>
      </c>
      <c r="K806" s="1">
        <v>1</v>
      </c>
      <c r="L806" s="1">
        <v>402.88</v>
      </c>
      <c r="M806" s="1">
        <v>0</v>
      </c>
      <c r="N806" s="1">
        <f t="shared" si="12"/>
        <v>0</v>
      </c>
      <c r="O806" s="1">
        <v>0</v>
      </c>
      <c r="P806" s="1">
        <v>12</v>
      </c>
      <c r="Q806" s="1">
        <v>76</v>
      </c>
    </row>
    <row r="807" spans="1:17">
      <c r="A807" s="1" t="s">
        <v>849</v>
      </c>
      <c r="B807" s="4">
        <v>45751</v>
      </c>
      <c r="C807" s="1" t="s">
        <v>2</v>
      </c>
      <c r="D807" s="1" t="s">
        <v>45</v>
      </c>
      <c r="E807" s="1" t="s">
        <v>47</v>
      </c>
      <c r="F807" s="1" t="s">
        <v>38</v>
      </c>
      <c r="G807" s="1" t="s">
        <v>39</v>
      </c>
      <c r="H807" s="1">
        <v>1</v>
      </c>
      <c r="I807" s="1">
        <v>0</v>
      </c>
      <c r="J807" s="1">
        <v>0</v>
      </c>
      <c r="K807" s="1">
        <v>0</v>
      </c>
      <c r="L807" s="1">
        <v>0</v>
      </c>
      <c r="M807" s="1">
        <v>2</v>
      </c>
      <c r="N807" s="1">
        <f t="shared" si="12"/>
        <v>1</v>
      </c>
      <c r="O807" s="1">
        <v>0</v>
      </c>
      <c r="P807" s="1"/>
      <c r="Q807" s="1">
        <v>65.3</v>
      </c>
    </row>
    <row r="808" spans="1:17">
      <c r="A808" s="1" t="s">
        <v>850</v>
      </c>
      <c r="B808" s="4">
        <v>45744</v>
      </c>
      <c r="C808" s="1" t="s">
        <v>2</v>
      </c>
      <c r="D808" s="1" t="s">
        <v>45</v>
      </c>
      <c r="E808" s="1" t="s">
        <v>32</v>
      </c>
      <c r="F808" s="1" t="s">
        <v>42</v>
      </c>
      <c r="G808" s="1" t="s">
        <v>43</v>
      </c>
      <c r="H808" s="1">
        <v>1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f t="shared" si="12"/>
        <v>0</v>
      </c>
      <c r="O808" s="1">
        <v>0</v>
      </c>
      <c r="P808" s="1"/>
      <c r="Q808" s="1">
        <v>71.2</v>
      </c>
    </row>
    <row r="809" spans="1:17">
      <c r="A809" s="1" t="s">
        <v>851</v>
      </c>
      <c r="B809" s="4">
        <v>45792</v>
      </c>
      <c r="C809" s="1" t="s">
        <v>2</v>
      </c>
      <c r="D809" s="1" t="s">
        <v>45</v>
      </c>
      <c r="E809" s="1" t="s">
        <v>47</v>
      </c>
      <c r="F809" s="1" t="s">
        <v>42</v>
      </c>
      <c r="G809" s="1" t="s">
        <v>39</v>
      </c>
      <c r="H809" s="1">
        <v>1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f t="shared" si="12"/>
        <v>0</v>
      </c>
      <c r="O809" s="1">
        <v>0</v>
      </c>
      <c r="P809" s="1"/>
      <c r="Q809" s="1">
        <v>77.900000000000006</v>
      </c>
    </row>
    <row r="810" spans="1:17">
      <c r="A810" s="1" t="s">
        <v>852</v>
      </c>
      <c r="B810" s="4">
        <v>45729</v>
      </c>
      <c r="C810" s="1" t="s">
        <v>2</v>
      </c>
      <c r="D810" s="1" t="s">
        <v>36</v>
      </c>
      <c r="E810" s="1" t="s">
        <v>37</v>
      </c>
      <c r="F810" s="1" t="s">
        <v>42</v>
      </c>
      <c r="G810" s="1" t="s">
        <v>39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f t="shared" si="12"/>
        <v>0</v>
      </c>
      <c r="O810" s="1">
        <v>0</v>
      </c>
      <c r="P810" s="1"/>
      <c r="Q810" s="1">
        <v>48.6</v>
      </c>
    </row>
    <row r="811" spans="1:17">
      <c r="A811" s="1" t="s">
        <v>853</v>
      </c>
      <c r="B811" s="4">
        <v>45742</v>
      </c>
      <c r="C811" s="1" t="s">
        <v>2</v>
      </c>
      <c r="D811" s="1" t="s">
        <v>31</v>
      </c>
      <c r="E811" s="1" t="s">
        <v>37</v>
      </c>
      <c r="F811" s="1" t="s">
        <v>54</v>
      </c>
      <c r="G811" s="1" t="s">
        <v>43</v>
      </c>
      <c r="H811" s="1">
        <v>1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f t="shared" si="12"/>
        <v>0</v>
      </c>
      <c r="O811" s="1">
        <v>0</v>
      </c>
      <c r="P811" s="1"/>
      <c r="Q811" s="1">
        <v>61.9</v>
      </c>
    </row>
    <row r="812" spans="1:17">
      <c r="A812" s="1" t="s">
        <v>854</v>
      </c>
      <c r="B812" s="4">
        <v>45666</v>
      </c>
      <c r="C812" s="1" t="s">
        <v>2</v>
      </c>
      <c r="D812" s="1" t="s">
        <v>31</v>
      </c>
      <c r="E812" s="1" t="s">
        <v>37</v>
      </c>
      <c r="F812" s="1" t="s">
        <v>54</v>
      </c>
      <c r="G812" s="1" t="s">
        <v>34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1</v>
      </c>
      <c r="N812" s="1">
        <f t="shared" si="12"/>
        <v>1</v>
      </c>
      <c r="O812" s="1">
        <v>0</v>
      </c>
      <c r="P812" s="1"/>
      <c r="Q812" s="1">
        <v>58.7</v>
      </c>
    </row>
    <row r="813" spans="1:17">
      <c r="A813" s="1" t="s">
        <v>855</v>
      </c>
      <c r="B813" s="4">
        <v>45783</v>
      </c>
      <c r="C813" s="1" t="s">
        <v>2</v>
      </c>
      <c r="D813" s="1" t="s">
        <v>45</v>
      </c>
      <c r="E813" s="1" t="s">
        <v>32</v>
      </c>
      <c r="F813" s="1" t="s">
        <v>42</v>
      </c>
      <c r="G813" s="1" t="s">
        <v>39</v>
      </c>
      <c r="H813" s="1">
        <v>1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f t="shared" si="12"/>
        <v>0</v>
      </c>
      <c r="O813" s="1">
        <v>0</v>
      </c>
      <c r="P813" s="1"/>
      <c r="Q813" s="1">
        <v>69.599999999999994</v>
      </c>
    </row>
    <row r="814" spans="1:17">
      <c r="A814" s="1" t="s">
        <v>856</v>
      </c>
      <c r="B814" s="4">
        <v>45705</v>
      </c>
      <c r="C814" s="1" t="s">
        <v>2</v>
      </c>
      <c r="D814" s="1" t="s">
        <v>45</v>
      </c>
      <c r="E814" s="1" t="s">
        <v>37</v>
      </c>
      <c r="F814" s="1" t="s">
        <v>38</v>
      </c>
      <c r="G814" s="1" t="s">
        <v>39</v>
      </c>
      <c r="H814" s="1">
        <v>1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f t="shared" si="12"/>
        <v>0</v>
      </c>
      <c r="O814" s="1">
        <v>0</v>
      </c>
      <c r="P814" s="1"/>
      <c r="Q814" s="1">
        <v>51.5</v>
      </c>
    </row>
    <row r="815" spans="1:17">
      <c r="A815" s="1" t="s">
        <v>857</v>
      </c>
      <c r="B815" s="4">
        <v>45752</v>
      </c>
      <c r="C815" s="1" t="s">
        <v>2</v>
      </c>
      <c r="D815" s="1" t="s">
        <v>41</v>
      </c>
      <c r="E815" s="1" t="s">
        <v>37</v>
      </c>
      <c r="F815" s="1" t="s">
        <v>42</v>
      </c>
      <c r="G815" s="1" t="s">
        <v>39</v>
      </c>
      <c r="H815" s="1">
        <v>1</v>
      </c>
      <c r="I815" s="1">
        <v>1</v>
      </c>
      <c r="J815" s="1">
        <v>1</v>
      </c>
      <c r="K815" s="1">
        <v>1</v>
      </c>
      <c r="L815" s="1">
        <v>277.69</v>
      </c>
      <c r="M815" s="1">
        <v>3</v>
      </c>
      <c r="N815" s="1">
        <f t="shared" si="12"/>
        <v>1</v>
      </c>
      <c r="O815" s="1">
        <v>0</v>
      </c>
      <c r="P815" s="1">
        <v>8</v>
      </c>
      <c r="Q815" s="1">
        <v>46</v>
      </c>
    </row>
    <row r="816" spans="1:17">
      <c r="A816" s="1" t="s">
        <v>858</v>
      </c>
      <c r="B816" s="4">
        <v>45760</v>
      </c>
      <c r="C816" s="1" t="s">
        <v>2</v>
      </c>
      <c r="D816" s="1" t="s">
        <v>36</v>
      </c>
      <c r="E816" s="1" t="s">
        <v>47</v>
      </c>
      <c r="F816" s="1" t="s">
        <v>38</v>
      </c>
      <c r="G816" s="1" t="s">
        <v>39</v>
      </c>
      <c r="H816" s="1">
        <v>1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f t="shared" si="12"/>
        <v>0</v>
      </c>
      <c r="O816" s="1">
        <v>0</v>
      </c>
      <c r="P816" s="1"/>
      <c r="Q816" s="1">
        <v>81.7</v>
      </c>
    </row>
    <row r="817" spans="1:17">
      <c r="A817" s="1" t="s">
        <v>859</v>
      </c>
      <c r="B817" s="4">
        <v>45797</v>
      </c>
      <c r="C817" s="1" t="s">
        <v>2</v>
      </c>
      <c r="D817" s="1" t="s">
        <v>41</v>
      </c>
      <c r="E817" s="1" t="s">
        <v>32</v>
      </c>
      <c r="F817" s="1" t="s">
        <v>52</v>
      </c>
      <c r="G817" s="1" t="s">
        <v>39</v>
      </c>
      <c r="H817" s="1">
        <v>1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f t="shared" si="12"/>
        <v>0</v>
      </c>
      <c r="O817" s="1">
        <v>0</v>
      </c>
      <c r="P817" s="1"/>
      <c r="Q817" s="1">
        <v>48.3</v>
      </c>
    </row>
    <row r="818" spans="1:17">
      <c r="A818" s="1" t="s">
        <v>860</v>
      </c>
      <c r="B818" s="4">
        <v>45747</v>
      </c>
      <c r="C818" s="1" t="s">
        <v>2</v>
      </c>
      <c r="D818" s="1" t="s">
        <v>41</v>
      </c>
      <c r="E818" s="1" t="s">
        <v>37</v>
      </c>
      <c r="F818" s="1" t="s">
        <v>33</v>
      </c>
      <c r="G818" s="1" t="s">
        <v>39</v>
      </c>
      <c r="H818" s="1">
        <v>1</v>
      </c>
      <c r="I818" s="1">
        <v>1</v>
      </c>
      <c r="J818" s="1">
        <v>0</v>
      </c>
      <c r="K818" s="1">
        <v>0</v>
      </c>
      <c r="L818" s="1">
        <v>0</v>
      </c>
      <c r="M818" s="1">
        <v>0</v>
      </c>
      <c r="N818" s="1">
        <f t="shared" si="12"/>
        <v>0</v>
      </c>
      <c r="O818" s="1">
        <v>0</v>
      </c>
      <c r="P818" s="1"/>
      <c r="Q818" s="1">
        <v>85.6</v>
      </c>
    </row>
    <row r="819" spans="1:17">
      <c r="A819" s="1" t="s">
        <v>861</v>
      </c>
      <c r="B819" s="4">
        <v>45750</v>
      </c>
      <c r="C819" s="1" t="s">
        <v>2</v>
      </c>
      <c r="D819" s="1" t="s">
        <v>36</v>
      </c>
      <c r="E819" s="1" t="s">
        <v>47</v>
      </c>
      <c r="F819" s="1" t="s">
        <v>42</v>
      </c>
      <c r="G819" s="1" t="s">
        <v>34</v>
      </c>
      <c r="H819" s="1">
        <v>1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f t="shared" si="12"/>
        <v>0</v>
      </c>
      <c r="O819" s="1">
        <v>0</v>
      </c>
      <c r="P819" s="1"/>
      <c r="Q819" s="1">
        <v>53.8</v>
      </c>
    </row>
    <row r="820" spans="1:17">
      <c r="A820" s="1" t="s">
        <v>862</v>
      </c>
      <c r="B820" s="4">
        <v>45692</v>
      </c>
      <c r="C820" s="1" t="s">
        <v>2</v>
      </c>
      <c r="D820" s="1" t="s">
        <v>45</v>
      </c>
      <c r="E820" s="1" t="s">
        <v>37</v>
      </c>
      <c r="F820" s="1" t="s">
        <v>38</v>
      </c>
      <c r="G820" s="1" t="s">
        <v>39</v>
      </c>
      <c r="H820" s="1">
        <v>1</v>
      </c>
      <c r="I820" s="1">
        <v>1</v>
      </c>
      <c r="J820" s="1">
        <v>1</v>
      </c>
      <c r="K820" s="1">
        <v>1</v>
      </c>
      <c r="L820" s="1">
        <v>460.83</v>
      </c>
      <c r="M820" s="1">
        <v>2</v>
      </c>
      <c r="N820" s="1">
        <f t="shared" si="12"/>
        <v>1</v>
      </c>
      <c r="O820" s="1">
        <v>0</v>
      </c>
      <c r="P820" s="1">
        <v>0</v>
      </c>
      <c r="Q820" s="1">
        <v>69.7</v>
      </c>
    </row>
    <row r="821" spans="1:17">
      <c r="A821" s="1" t="s">
        <v>863</v>
      </c>
      <c r="B821" s="4">
        <v>45796</v>
      </c>
      <c r="C821" s="1" t="s">
        <v>2</v>
      </c>
      <c r="D821" s="1" t="s">
        <v>41</v>
      </c>
      <c r="E821" s="1" t="s">
        <v>37</v>
      </c>
      <c r="F821" s="1" t="s">
        <v>38</v>
      </c>
      <c r="G821" s="1" t="s">
        <v>39</v>
      </c>
      <c r="H821" s="1">
        <v>1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f t="shared" si="12"/>
        <v>0</v>
      </c>
      <c r="O821" s="1">
        <v>0</v>
      </c>
      <c r="P821" s="1"/>
      <c r="Q821" s="1">
        <v>74.8</v>
      </c>
    </row>
    <row r="822" spans="1:17">
      <c r="A822" s="1" t="s">
        <v>864</v>
      </c>
      <c r="B822" s="4">
        <v>45724</v>
      </c>
      <c r="C822" s="1" t="s">
        <v>2</v>
      </c>
      <c r="D822" s="1" t="s">
        <v>41</v>
      </c>
      <c r="E822" s="1" t="s">
        <v>32</v>
      </c>
      <c r="F822" s="1" t="s">
        <v>42</v>
      </c>
      <c r="G822" s="1" t="s">
        <v>34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f t="shared" si="12"/>
        <v>0</v>
      </c>
      <c r="O822" s="1">
        <v>0</v>
      </c>
      <c r="P822" s="1"/>
      <c r="Q822" s="1">
        <v>87.9</v>
      </c>
    </row>
    <row r="823" spans="1:17">
      <c r="A823" s="1" t="s">
        <v>865</v>
      </c>
      <c r="B823" s="4">
        <v>45787</v>
      </c>
      <c r="C823" s="1" t="s">
        <v>2</v>
      </c>
      <c r="D823" s="1" t="s">
        <v>31</v>
      </c>
      <c r="E823" s="1" t="s">
        <v>37</v>
      </c>
      <c r="F823" s="1" t="s">
        <v>54</v>
      </c>
      <c r="G823" s="1" t="s">
        <v>34</v>
      </c>
      <c r="H823" s="1">
        <v>1</v>
      </c>
      <c r="I823" s="1">
        <v>0</v>
      </c>
      <c r="J823" s="1">
        <v>0</v>
      </c>
      <c r="K823" s="1">
        <v>0</v>
      </c>
      <c r="L823" s="1">
        <v>0</v>
      </c>
      <c r="M823" s="1">
        <v>1</v>
      </c>
      <c r="N823" s="1">
        <f t="shared" si="12"/>
        <v>1</v>
      </c>
      <c r="O823" s="1">
        <v>0</v>
      </c>
      <c r="P823" s="1"/>
      <c r="Q823" s="1">
        <v>49.1</v>
      </c>
    </row>
    <row r="824" spans="1:17">
      <c r="A824" s="1" t="s">
        <v>866</v>
      </c>
      <c r="B824" s="4">
        <v>45659</v>
      </c>
      <c r="C824" s="1" t="s">
        <v>2</v>
      </c>
      <c r="D824" s="1" t="s">
        <v>41</v>
      </c>
      <c r="E824" s="1" t="s">
        <v>32</v>
      </c>
      <c r="F824" s="1" t="s">
        <v>54</v>
      </c>
      <c r="G824" s="1" t="s">
        <v>34</v>
      </c>
      <c r="H824" s="1">
        <v>1</v>
      </c>
      <c r="I824" s="1">
        <v>0</v>
      </c>
      <c r="J824" s="1">
        <v>0</v>
      </c>
      <c r="K824" s="1">
        <v>0</v>
      </c>
      <c r="L824" s="1">
        <v>0</v>
      </c>
      <c r="M824" s="1">
        <v>2</v>
      </c>
      <c r="N824" s="1">
        <f t="shared" si="12"/>
        <v>1</v>
      </c>
      <c r="O824" s="1">
        <v>0</v>
      </c>
      <c r="P824" s="1"/>
      <c r="Q824" s="1">
        <v>73</v>
      </c>
    </row>
    <row r="825" spans="1:17">
      <c r="A825" s="1" t="s">
        <v>867</v>
      </c>
      <c r="B825" s="4">
        <v>45674</v>
      </c>
      <c r="C825" s="1" t="s">
        <v>2</v>
      </c>
      <c r="D825" s="1" t="s">
        <v>36</v>
      </c>
      <c r="E825" s="1" t="s">
        <v>37</v>
      </c>
      <c r="F825" s="1" t="s">
        <v>38</v>
      </c>
      <c r="G825" s="1" t="s">
        <v>34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f t="shared" si="12"/>
        <v>0</v>
      </c>
      <c r="O825" s="1">
        <v>0</v>
      </c>
      <c r="P825" s="1"/>
      <c r="Q825" s="1">
        <v>79.5</v>
      </c>
    </row>
    <row r="826" spans="1:17">
      <c r="A826" s="1" t="s">
        <v>868</v>
      </c>
      <c r="B826" s="4">
        <v>45798</v>
      </c>
      <c r="C826" s="1" t="s">
        <v>2</v>
      </c>
      <c r="D826" s="1" t="s">
        <v>36</v>
      </c>
      <c r="E826" s="1" t="s">
        <v>37</v>
      </c>
      <c r="F826" s="1" t="s">
        <v>52</v>
      </c>
      <c r="G826" s="1" t="s">
        <v>34</v>
      </c>
      <c r="H826" s="1">
        <v>1</v>
      </c>
      <c r="I826" s="1">
        <v>1</v>
      </c>
      <c r="J826" s="1">
        <v>1</v>
      </c>
      <c r="K826" s="1">
        <v>1</v>
      </c>
      <c r="L826" s="1">
        <v>782.23</v>
      </c>
      <c r="M826" s="1">
        <v>1</v>
      </c>
      <c r="N826" s="1">
        <f t="shared" si="12"/>
        <v>1</v>
      </c>
      <c r="O826" s="1">
        <v>0</v>
      </c>
      <c r="P826" s="1">
        <v>6</v>
      </c>
      <c r="Q826" s="1">
        <v>93.2</v>
      </c>
    </row>
    <row r="827" spans="1:17">
      <c r="A827" s="1" t="s">
        <v>869</v>
      </c>
      <c r="B827" s="4">
        <v>45802</v>
      </c>
      <c r="C827" s="1" t="s">
        <v>2</v>
      </c>
      <c r="D827" s="1" t="s">
        <v>41</v>
      </c>
      <c r="E827" s="1" t="s">
        <v>32</v>
      </c>
      <c r="F827" s="1" t="s">
        <v>52</v>
      </c>
      <c r="G827" s="1" t="s">
        <v>39</v>
      </c>
      <c r="H827" s="1">
        <v>1</v>
      </c>
      <c r="I827" s="1">
        <v>0</v>
      </c>
      <c r="J827" s="1">
        <v>0</v>
      </c>
      <c r="K827" s="1">
        <v>0</v>
      </c>
      <c r="L827" s="1">
        <v>0</v>
      </c>
      <c r="M827" s="1">
        <v>3</v>
      </c>
      <c r="N827" s="1">
        <f t="shared" si="12"/>
        <v>1</v>
      </c>
      <c r="O827" s="1">
        <v>0</v>
      </c>
      <c r="P827" s="1"/>
      <c r="Q827" s="1">
        <v>77.5</v>
      </c>
    </row>
    <row r="828" spans="1:17">
      <c r="A828" s="1" t="s">
        <v>870</v>
      </c>
      <c r="B828" s="4">
        <v>45662</v>
      </c>
      <c r="C828" s="1" t="s">
        <v>2</v>
      </c>
      <c r="D828" s="1" t="s">
        <v>36</v>
      </c>
      <c r="E828" s="1" t="s">
        <v>37</v>
      </c>
      <c r="F828" s="1" t="s">
        <v>33</v>
      </c>
      <c r="G828" s="1" t="s">
        <v>34</v>
      </c>
      <c r="H828" s="1">
        <v>1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f t="shared" si="12"/>
        <v>0</v>
      </c>
      <c r="O828" s="1">
        <v>0</v>
      </c>
      <c r="P828" s="1"/>
      <c r="Q828" s="1">
        <v>61</v>
      </c>
    </row>
    <row r="829" spans="1:17">
      <c r="A829" s="1" t="s">
        <v>871</v>
      </c>
      <c r="B829" s="4">
        <v>45712</v>
      </c>
      <c r="C829" s="1" t="s">
        <v>2</v>
      </c>
      <c r="D829" s="1" t="s">
        <v>45</v>
      </c>
      <c r="E829" s="1" t="s">
        <v>32</v>
      </c>
      <c r="F829" s="1" t="s">
        <v>38</v>
      </c>
      <c r="G829" s="1" t="s">
        <v>39</v>
      </c>
      <c r="H829" s="1">
        <v>1</v>
      </c>
      <c r="I829" s="1">
        <v>1</v>
      </c>
      <c r="J829" s="1">
        <v>0</v>
      </c>
      <c r="K829" s="1">
        <v>0</v>
      </c>
      <c r="L829" s="1">
        <v>0</v>
      </c>
      <c r="M829" s="1">
        <v>0</v>
      </c>
      <c r="N829" s="1">
        <f t="shared" si="12"/>
        <v>0</v>
      </c>
      <c r="O829" s="1">
        <v>0</v>
      </c>
      <c r="P829" s="1"/>
      <c r="Q829" s="1">
        <v>64.900000000000006</v>
      </c>
    </row>
    <row r="830" spans="1:17">
      <c r="A830" s="1" t="s">
        <v>872</v>
      </c>
      <c r="B830" s="4">
        <v>45678</v>
      </c>
      <c r="C830" s="1" t="s">
        <v>2</v>
      </c>
      <c r="D830" s="1" t="s">
        <v>41</v>
      </c>
      <c r="E830" s="1" t="s">
        <v>37</v>
      </c>
      <c r="F830" s="1" t="s">
        <v>42</v>
      </c>
      <c r="G830" s="1" t="s">
        <v>34</v>
      </c>
      <c r="H830" s="1">
        <v>1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f t="shared" si="12"/>
        <v>0</v>
      </c>
      <c r="O830" s="1">
        <v>0</v>
      </c>
      <c r="P830" s="1"/>
      <c r="Q830" s="1">
        <v>87.5</v>
      </c>
    </row>
    <row r="831" spans="1:17">
      <c r="A831" s="1" t="s">
        <v>873</v>
      </c>
      <c r="B831" s="4">
        <v>45771</v>
      </c>
      <c r="C831" s="1" t="s">
        <v>2</v>
      </c>
      <c r="D831" s="1" t="s">
        <v>31</v>
      </c>
      <c r="E831" s="1" t="s">
        <v>37</v>
      </c>
      <c r="F831" s="1" t="s">
        <v>38</v>
      </c>
      <c r="G831" s="1" t="s">
        <v>34</v>
      </c>
      <c r="H831" s="1">
        <v>1</v>
      </c>
      <c r="I831" s="1">
        <v>1</v>
      </c>
      <c r="J831" s="1">
        <v>1</v>
      </c>
      <c r="K831" s="1">
        <v>1</v>
      </c>
      <c r="L831" s="1">
        <v>1171.99</v>
      </c>
      <c r="M831" s="1">
        <v>0</v>
      </c>
      <c r="N831" s="1">
        <f t="shared" si="12"/>
        <v>0</v>
      </c>
      <c r="O831" s="1">
        <v>0</v>
      </c>
      <c r="P831" s="1">
        <v>5</v>
      </c>
      <c r="Q831" s="1">
        <v>80.599999999999994</v>
      </c>
    </row>
    <row r="832" spans="1:17">
      <c r="A832" s="1" t="s">
        <v>874</v>
      </c>
      <c r="B832" s="4">
        <v>45664</v>
      </c>
      <c r="C832" s="1" t="s">
        <v>2</v>
      </c>
      <c r="D832" s="1" t="s">
        <v>36</v>
      </c>
      <c r="E832" s="1" t="s">
        <v>32</v>
      </c>
      <c r="F832" s="1" t="s">
        <v>38</v>
      </c>
      <c r="G832" s="1" t="s">
        <v>39</v>
      </c>
      <c r="H832" s="1">
        <v>1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f t="shared" si="12"/>
        <v>0</v>
      </c>
      <c r="O832" s="1">
        <v>0</v>
      </c>
      <c r="P832" s="1"/>
      <c r="Q832" s="1">
        <v>66.900000000000006</v>
      </c>
    </row>
    <row r="833" spans="1:17">
      <c r="A833" s="1" t="s">
        <v>875</v>
      </c>
      <c r="B833" s="4">
        <v>45808</v>
      </c>
      <c r="C833" s="1" t="s">
        <v>2</v>
      </c>
      <c r="D833" s="1" t="s">
        <v>45</v>
      </c>
      <c r="E833" s="1" t="s">
        <v>47</v>
      </c>
      <c r="F833" s="1" t="s">
        <v>38</v>
      </c>
      <c r="G833" s="1" t="s">
        <v>34</v>
      </c>
      <c r="H833" s="1">
        <v>1</v>
      </c>
      <c r="I833" s="1">
        <v>1</v>
      </c>
      <c r="J833" s="1">
        <v>1</v>
      </c>
      <c r="K833" s="1">
        <v>0</v>
      </c>
      <c r="L833" s="1">
        <v>0</v>
      </c>
      <c r="M833" s="1">
        <v>0</v>
      </c>
      <c r="N833" s="1">
        <f t="shared" si="12"/>
        <v>0</v>
      </c>
      <c r="O833" s="1">
        <v>0</v>
      </c>
      <c r="P833" s="1"/>
      <c r="Q833" s="1">
        <v>58.8</v>
      </c>
    </row>
    <row r="834" spans="1:17">
      <c r="A834" s="1" t="s">
        <v>876</v>
      </c>
      <c r="B834" s="4">
        <v>45749</v>
      </c>
      <c r="C834" s="1" t="s">
        <v>2</v>
      </c>
      <c r="D834" s="1" t="s">
        <v>31</v>
      </c>
      <c r="E834" s="1" t="s">
        <v>32</v>
      </c>
      <c r="F834" s="1" t="s">
        <v>38</v>
      </c>
      <c r="G834" s="1" t="s">
        <v>34</v>
      </c>
      <c r="H834" s="1">
        <v>1</v>
      </c>
      <c r="I834" s="1">
        <v>1</v>
      </c>
      <c r="J834" s="1">
        <v>1</v>
      </c>
      <c r="K834" s="1">
        <v>1</v>
      </c>
      <c r="L834" s="1">
        <v>1010.4</v>
      </c>
      <c r="M834" s="1">
        <v>0</v>
      </c>
      <c r="N834" s="1">
        <f t="shared" si="12"/>
        <v>0</v>
      </c>
      <c r="O834" s="1">
        <v>0</v>
      </c>
      <c r="P834" s="1">
        <v>4</v>
      </c>
      <c r="Q834" s="1">
        <v>42.9</v>
      </c>
    </row>
    <row r="835" spans="1:17">
      <c r="A835" s="1" t="s">
        <v>877</v>
      </c>
      <c r="B835" s="4">
        <v>45768</v>
      </c>
      <c r="C835" s="1" t="s">
        <v>2</v>
      </c>
      <c r="D835" s="1" t="s">
        <v>41</v>
      </c>
      <c r="E835" s="1" t="s">
        <v>37</v>
      </c>
      <c r="F835" s="1" t="s">
        <v>38</v>
      </c>
      <c r="G835" s="1" t="s">
        <v>39</v>
      </c>
      <c r="H835" s="1">
        <v>1</v>
      </c>
      <c r="I835" s="1">
        <v>1</v>
      </c>
      <c r="J835" s="1">
        <v>1</v>
      </c>
      <c r="K835" s="1">
        <v>0</v>
      </c>
      <c r="L835" s="1">
        <v>0</v>
      </c>
      <c r="M835" s="1">
        <v>1</v>
      </c>
      <c r="N835" s="1">
        <f t="shared" ref="N835:N898" si="13">IF(M835&gt;0,1,0)</f>
        <v>1</v>
      </c>
      <c r="O835" s="1">
        <v>0</v>
      </c>
      <c r="P835" s="1"/>
      <c r="Q835" s="1">
        <v>60.2</v>
      </c>
    </row>
    <row r="836" spans="1:17">
      <c r="A836" s="1" t="s">
        <v>878</v>
      </c>
      <c r="B836" s="4">
        <v>45782</v>
      </c>
      <c r="C836" s="1" t="s">
        <v>2</v>
      </c>
      <c r="D836" s="1" t="s">
        <v>41</v>
      </c>
      <c r="E836" s="1" t="s">
        <v>37</v>
      </c>
      <c r="F836" s="1" t="s">
        <v>42</v>
      </c>
      <c r="G836" s="1" t="s">
        <v>34</v>
      </c>
      <c r="H836" s="1">
        <v>1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f t="shared" si="13"/>
        <v>0</v>
      </c>
      <c r="O836" s="1">
        <v>0</v>
      </c>
      <c r="P836" s="1"/>
      <c r="Q836" s="1">
        <v>42.7</v>
      </c>
    </row>
    <row r="837" spans="1:17">
      <c r="A837" s="1" t="s">
        <v>879</v>
      </c>
      <c r="B837" s="4">
        <v>45663</v>
      </c>
      <c r="C837" s="1" t="s">
        <v>2</v>
      </c>
      <c r="D837" s="1" t="s">
        <v>31</v>
      </c>
      <c r="E837" s="1" t="s">
        <v>32</v>
      </c>
      <c r="F837" s="1" t="s">
        <v>54</v>
      </c>
      <c r="G837" s="1" t="s">
        <v>39</v>
      </c>
      <c r="H837" s="1">
        <v>1</v>
      </c>
      <c r="I837" s="1">
        <v>1</v>
      </c>
      <c r="J837" s="1">
        <v>1</v>
      </c>
      <c r="K837" s="1">
        <v>1</v>
      </c>
      <c r="L837" s="1">
        <v>431.27</v>
      </c>
      <c r="M837" s="1">
        <v>0</v>
      </c>
      <c r="N837" s="1">
        <f t="shared" si="13"/>
        <v>0</v>
      </c>
      <c r="O837" s="1">
        <v>0</v>
      </c>
      <c r="P837" s="1">
        <v>7</v>
      </c>
      <c r="Q837" s="1">
        <v>60.8</v>
      </c>
    </row>
    <row r="838" spans="1:17">
      <c r="A838" s="1" t="s">
        <v>880</v>
      </c>
      <c r="B838" s="4">
        <v>45771</v>
      </c>
      <c r="C838" s="1" t="s">
        <v>2</v>
      </c>
      <c r="D838" s="1" t="s">
        <v>45</v>
      </c>
      <c r="E838" s="1" t="s">
        <v>37</v>
      </c>
      <c r="F838" s="1" t="s">
        <v>52</v>
      </c>
      <c r="G838" s="1" t="s">
        <v>39</v>
      </c>
      <c r="H838" s="1">
        <v>1</v>
      </c>
      <c r="I838" s="1">
        <v>1</v>
      </c>
      <c r="J838" s="1">
        <v>1</v>
      </c>
      <c r="K838" s="1">
        <v>1</v>
      </c>
      <c r="L838" s="1">
        <v>428.8</v>
      </c>
      <c r="M838" s="1">
        <v>0</v>
      </c>
      <c r="N838" s="1">
        <f t="shared" si="13"/>
        <v>0</v>
      </c>
      <c r="O838" s="1">
        <v>0</v>
      </c>
      <c r="P838" s="1">
        <v>9</v>
      </c>
      <c r="Q838" s="1">
        <v>79.3</v>
      </c>
    </row>
    <row r="839" spans="1:17">
      <c r="A839" s="1" t="s">
        <v>881</v>
      </c>
      <c r="B839" s="4">
        <v>45768</v>
      </c>
      <c r="C839" s="1" t="s">
        <v>2</v>
      </c>
      <c r="D839" s="1" t="s">
        <v>45</v>
      </c>
      <c r="E839" s="1" t="s">
        <v>37</v>
      </c>
      <c r="F839" s="1" t="s">
        <v>38</v>
      </c>
      <c r="G839" s="1" t="s">
        <v>34</v>
      </c>
      <c r="H839" s="1">
        <v>1</v>
      </c>
      <c r="I839" s="1">
        <v>0</v>
      </c>
      <c r="J839" s="1">
        <v>0</v>
      </c>
      <c r="K839" s="1">
        <v>0</v>
      </c>
      <c r="L839" s="1">
        <v>0</v>
      </c>
      <c r="M839" s="1">
        <v>1</v>
      </c>
      <c r="N839" s="1">
        <f t="shared" si="13"/>
        <v>1</v>
      </c>
      <c r="O839" s="1">
        <v>0</v>
      </c>
      <c r="P839" s="1"/>
      <c r="Q839" s="1">
        <v>88.6</v>
      </c>
    </row>
    <row r="840" spans="1:17">
      <c r="A840" s="1" t="s">
        <v>882</v>
      </c>
      <c r="B840" s="4">
        <v>45697</v>
      </c>
      <c r="C840" s="1" t="s">
        <v>2</v>
      </c>
      <c r="D840" s="1" t="s">
        <v>36</v>
      </c>
      <c r="E840" s="1" t="s">
        <v>37</v>
      </c>
      <c r="F840" s="1" t="s">
        <v>38</v>
      </c>
      <c r="G840" s="1" t="s">
        <v>34</v>
      </c>
      <c r="H840" s="1">
        <v>1</v>
      </c>
      <c r="I840" s="1">
        <v>1</v>
      </c>
      <c r="J840" s="1">
        <v>1</v>
      </c>
      <c r="K840" s="1">
        <v>0</v>
      </c>
      <c r="L840" s="1">
        <v>0</v>
      </c>
      <c r="M840" s="1">
        <v>0</v>
      </c>
      <c r="N840" s="1">
        <f t="shared" si="13"/>
        <v>0</v>
      </c>
      <c r="O840" s="1">
        <v>0</v>
      </c>
      <c r="P840" s="1"/>
      <c r="Q840" s="1">
        <v>63.1</v>
      </c>
    </row>
    <row r="841" spans="1:17">
      <c r="A841" s="1" t="s">
        <v>883</v>
      </c>
      <c r="B841" s="4">
        <v>45666</v>
      </c>
      <c r="C841" s="1" t="s">
        <v>2</v>
      </c>
      <c r="D841" s="1" t="s">
        <v>41</v>
      </c>
      <c r="E841" s="1" t="s">
        <v>37</v>
      </c>
      <c r="F841" s="1" t="s">
        <v>38</v>
      </c>
      <c r="G841" s="1" t="s">
        <v>43</v>
      </c>
      <c r="H841" s="1">
        <v>1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f t="shared" si="13"/>
        <v>0</v>
      </c>
      <c r="O841" s="1">
        <v>0</v>
      </c>
      <c r="P841" s="1"/>
      <c r="Q841" s="1">
        <v>39.700000000000003</v>
      </c>
    </row>
    <row r="842" spans="1:17">
      <c r="A842" s="1" t="s">
        <v>884</v>
      </c>
      <c r="B842" s="4">
        <v>45704</v>
      </c>
      <c r="C842" s="1" t="s">
        <v>2</v>
      </c>
      <c r="D842" s="1" t="s">
        <v>31</v>
      </c>
      <c r="E842" s="1" t="s">
        <v>37</v>
      </c>
      <c r="F842" s="1" t="s">
        <v>42</v>
      </c>
      <c r="G842" s="1" t="s">
        <v>34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f t="shared" si="13"/>
        <v>0</v>
      </c>
      <c r="O842" s="1">
        <v>0</v>
      </c>
      <c r="P842" s="1"/>
      <c r="Q842" s="1">
        <v>67.2</v>
      </c>
    </row>
    <row r="843" spans="1:17">
      <c r="A843" s="1" t="s">
        <v>885</v>
      </c>
      <c r="B843" s="4">
        <v>45709</v>
      </c>
      <c r="C843" s="1" t="s">
        <v>2</v>
      </c>
      <c r="D843" s="1" t="s">
        <v>45</v>
      </c>
      <c r="E843" s="1" t="s">
        <v>37</v>
      </c>
      <c r="F843" s="1" t="s">
        <v>38</v>
      </c>
      <c r="G843" s="1" t="s">
        <v>39</v>
      </c>
      <c r="H843" s="1">
        <v>1</v>
      </c>
      <c r="I843" s="1">
        <v>1</v>
      </c>
      <c r="J843" s="1">
        <v>1</v>
      </c>
      <c r="K843" s="1">
        <v>0</v>
      </c>
      <c r="L843" s="1">
        <v>0</v>
      </c>
      <c r="M843" s="1">
        <v>0</v>
      </c>
      <c r="N843" s="1">
        <f t="shared" si="13"/>
        <v>0</v>
      </c>
      <c r="O843" s="1">
        <v>0</v>
      </c>
      <c r="P843" s="1"/>
      <c r="Q843" s="1">
        <v>62.3</v>
      </c>
    </row>
    <row r="844" spans="1:17">
      <c r="A844" s="1" t="s">
        <v>886</v>
      </c>
      <c r="B844" s="4">
        <v>45696</v>
      </c>
      <c r="C844" s="1" t="s">
        <v>2</v>
      </c>
      <c r="D844" s="1" t="s">
        <v>45</v>
      </c>
      <c r="E844" s="1" t="s">
        <v>37</v>
      </c>
      <c r="F844" s="1" t="s">
        <v>38</v>
      </c>
      <c r="G844" s="1" t="s">
        <v>43</v>
      </c>
      <c r="H844" s="1">
        <v>1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f t="shared" si="13"/>
        <v>0</v>
      </c>
      <c r="O844" s="1">
        <v>0</v>
      </c>
      <c r="P844" s="1"/>
      <c r="Q844" s="1"/>
    </row>
    <row r="845" spans="1:17">
      <c r="A845" s="1" t="s">
        <v>887</v>
      </c>
      <c r="B845" s="4">
        <v>45679</v>
      </c>
      <c r="C845" s="1" t="s">
        <v>2</v>
      </c>
      <c r="D845" s="1" t="s">
        <v>45</v>
      </c>
      <c r="E845" s="1" t="s">
        <v>37</v>
      </c>
      <c r="F845" s="1" t="s">
        <v>42</v>
      </c>
      <c r="G845" s="1" t="s">
        <v>43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f t="shared" si="13"/>
        <v>0</v>
      </c>
      <c r="O845" s="1">
        <v>0</v>
      </c>
      <c r="P845" s="1"/>
      <c r="Q845" s="1">
        <v>60.7</v>
      </c>
    </row>
    <row r="846" spans="1:17">
      <c r="A846" s="1" t="s">
        <v>888</v>
      </c>
      <c r="B846" s="4">
        <v>45748</v>
      </c>
      <c r="C846" s="1" t="s">
        <v>2</v>
      </c>
      <c r="D846" s="1" t="s">
        <v>36</v>
      </c>
      <c r="E846" s="1" t="s">
        <v>37</v>
      </c>
      <c r="F846" s="1" t="s">
        <v>38</v>
      </c>
      <c r="G846" s="1" t="s">
        <v>34</v>
      </c>
      <c r="H846" s="1">
        <v>1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f t="shared" si="13"/>
        <v>0</v>
      </c>
      <c r="O846" s="1">
        <v>0</v>
      </c>
      <c r="P846" s="1"/>
      <c r="Q846" s="1">
        <v>61.5</v>
      </c>
    </row>
    <row r="847" spans="1:17">
      <c r="A847" s="1" t="s">
        <v>889</v>
      </c>
      <c r="B847" s="4">
        <v>45678</v>
      </c>
      <c r="C847" s="1" t="s">
        <v>2</v>
      </c>
      <c r="D847" s="1" t="s">
        <v>31</v>
      </c>
      <c r="E847" s="1" t="s">
        <v>37</v>
      </c>
      <c r="F847" s="1" t="s">
        <v>42</v>
      </c>
      <c r="G847" s="1" t="s">
        <v>34</v>
      </c>
      <c r="H847" s="1">
        <v>1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f t="shared" si="13"/>
        <v>0</v>
      </c>
      <c r="O847" s="1">
        <v>0</v>
      </c>
      <c r="P847" s="1"/>
      <c r="Q847" s="1">
        <v>75</v>
      </c>
    </row>
    <row r="848" spans="1:17">
      <c r="A848" s="1" t="s">
        <v>890</v>
      </c>
      <c r="B848" s="4">
        <v>45659</v>
      </c>
      <c r="C848" s="1" t="s">
        <v>2</v>
      </c>
      <c r="D848" s="1" t="s">
        <v>41</v>
      </c>
      <c r="E848" s="1" t="s">
        <v>32</v>
      </c>
      <c r="F848" s="1" t="s">
        <v>38</v>
      </c>
      <c r="G848" s="1" t="s">
        <v>39</v>
      </c>
      <c r="H848" s="1">
        <v>1</v>
      </c>
      <c r="I848" s="1">
        <v>1</v>
      </c>
      <c r="J848" s="1">
        <v>0</v>
      </c>
      <c r="K848" s="1">
        <v>0</v>
      </c>
      <c r="L848" s="1">
        <v>0</v>
      </c>
      <c r="M848" s="1">
        <v>0</v>
      </c>
      <c r="N848" s="1">
        <f t="shared" si="13"/>
        <v>0</v>
      </c>
      <c r="O848" s="1">
        <v>0</v>
      </c>
      <c r="P848" s="1"/>
      <c r="Q848" s="1">
        <v>51.9</v>
      </c>
    </row>
    <row r="849" spans="1:17">
      <c r="A849" s="1" t="s">
        <v>891</v>
      </c>
      <c r="B849" s="4">
        <v>45789</v>
      </c>
      <c r="C849" s="1" t="s">
        <v>2</v>
      </c>
      <c r="D849" s="1" t="s">
        <v>45</v>
      </c>
      <c r="E849" s="1" t="s">
        <v>32</v>
      </c>
      <c r="F849" s="1" t="s">
        <v>42</v>
      </c>
      <c r="G849" s="1" t="s">
        <v>39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f t="shared" si="13"/>
        <v>0</v>
      </c>
      <c r="O849" s="1">
        <v>0</v>
      </c>
      <c r="P849" s="1"/>
      <c r="Q849" s="1">
        <v>34.5</v>
      </c>
    </row>
    <row r="850" spans="1:17">
      <c r="A850" s="1" t="s">
        <v>892</v>
      </c>
      <c r="B850" s="4">
        <v>45721</v>
      </c>
      <c r="C850" s="1" t="s">
        <v>2</v>
      </c>
      <c r="D850" s="1" t="s">
        <v>45</v>
      </c>
      <c r="E850" s="1" t="s">
        <v>37</v>
      </c>
      <c r="F850" s="1" t="s">
        <v>54</v>
      </c>
      <c r="G850" s="1" t="s">
        <v>34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f t="shared" si="13"/>
        <v>0</v>
      </c>
      <c r="O850" s="1">
        <v>0</v>
      </c>
      <c r="P850" s="1"/>
      <c r="Q850" s="1">
        <v>54.5</v>
      </c>
    </row>
    <row r="851" spans="1:17">
      <c r="A851" s="1" t="s">
        <v>893</v>
      </c>
      <c r="B851" s="4">
        <v>45681</v>
      </c>
      <c r="C851" s="1" t="s">
        <v>2</v>
      </c>
      <c r="D851" s="1" t="s">
        <v>41</v>
      </c>
      <c r="E851" s="1" t="s">
        <v>37</v>
      </c>
      <c r="F851" s="1" t="s">
        <v>38</v>
      </c>
      <c r="G851" s="1" t="s">
        <v>39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f t="shared" si="13"/>
        <v>0</v>
      </c>
      <c r="O851" s="1">
        <v>0</v>
      </c>
      <c r="P851" s="1"/>
      <c r="Q851" s="1">
        <v>46</v>
      </c>
    </row>
    <row r="852" spans="1:17">
      <c r="A852" s="1" t="s">
        <v>894</v>
      </c>
      <c r="B852" s="4">
        <v>45688</v>
      </c>
      <c r="C852" s="1" t="s">
        <v>2</v>
      </c>
      <c r="D852" s="1" t="s">
        <v>41</v>
      </c>
      <c r="E852" s="1" t="s">
        <v>32</v>
      </c>
      <c r="F852" s="1" t="s">
        <v>33</v>
      </c>
      <c r="G852" s="1" t="s">
        <v>39</v>
      </c>
      <c r="H852" s="1">
        <v>1</v>
      </c>
      <c r="I852" s="1">
        <v>1</v>
      </c>
      <c r="J852" s="1">
        <v>1</v>
      </c>
      <c r="K852" s="1">
        <v>0</v>
      </c>
      <c r="L852" s="1">
        <v>0</v>
      </c>
      <c r="M852" s="1">
        <v>0</v>
      </c>
      <c r="N852" s="1">
        <f t="shared" si="13"/>
        <v>0</v>
      </c>
      <c r="O852" s="1">
        <v>0</v>
      </c>
      <c r="P852" s="1"/>
      <c r="Q852" s="1">
        <v>88.4</v>
      </c>
    </row>
    <row r="853" spans="1:17">
      <c r="A853" s="1" t="s">
        <v>895</v>
      </c>
      <c r="B853" s="4">
        <v>45681</v>
      </c>
      <c r="C853" s="1" t="s">
        <v>2</v>
      </c>
      <c r="D853" s="1" t="s">
        <v>31</v>
      </c>
      <c r="E853" s="1" t="s">
        <v>47</v>
      </c>
      <c r="F853" s="1" t="s">
        <v>38</v>
      </c>
      <c r="G853" s="1" t="s">
        <v>34</v>
      </c>
      <c r="H853" s="1">
        <v>1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f t="shared" si="13"/>
        <v>0</v>
      </c>
      <c r="O853" s="1">
        <v>0</v>
      </c>
      <c r="P853" s="1"/>
      <c r="Q853" s="1">
        <v>69.5</v>
      </c>
    </row>
    <row r="854" spans="1:17">
      <c r="A854" s="1" t="s">
        <v>896</v>
      </c>
      <c r="B854" s="4">
        <v>45702</v>
      </c>
      <c r="C854" s="1" t="s">
        <v>2</v>
      </c>
      <c r="D854" s="1" t="s">
        <v>31</v>
      </c>
      <c r="E854" s="1" t="s">
        <v>32</v>
      </c>
      <c r="F854" s="1" t="s">
        <v>52</v>
      </c>
      <c r="G854" s="1" t="s">
        <v>34</v>
      </c>
      <c r="H854" s="1">
        <v>1</v>
      </c>
      <c r="I854" s="1">
        <v>1</v>
      </c>
      <c r="J854" s="1">
        <v>1</v>
      </c>
      <c r="K854" s="1">
        <v>0</v>
      </c>
      <c r="L854" s="1">
        <v>0</v>
      </c>
      <c r="M854" s="1">
        <v>0</v>
      </c>
      <c r="N854" s="1">
        <f t="shared" si="13"/>
        <v>0</v>
      </c>
      <c r="O854" s="1">
        <v>0</v>
      </c>
      <c r="P854" s="1"/>
      <c r="Q854" s="1">
        <v>74.2</v>
      </c>
    </row>
    <row r="855" spans="1:17">
      <c r="A855" s="1" t="s">
        <v>897</v>
      </c>
      <c r="B855" s="4">
        <v>45804</v>
      </c>
      <c r="C855" s="1" t="s">
        <v>2</v>
      </c>
      <c r="D855" s="1" t="s">
        <v>31</v>
      </c>
      <c r="E855" s="1" t="s">
        <v>37</v>
      </c>
      <c r="F855" s="1" t="s">
        <v>38</v>
      </c>
      <c r="G855" s="1" t="s">
        <v>39</v>
      </c>
      <c r="H855" s="1">
        <v>1</v>
      </c>
      <c r="I855" s="1">
        <v>1</v>
      </c>
      <c r="J855" s="1">
        <v>1</v>
      </c>
      <c r="K855" s="1">
        <v>0</v>
      </c>
      <c r="L855" s="1">
        <v>0</v>
      </c>
      <c r="M855" s="1">
        <v>0</v>
      </c>
      <c r="N855" s="1">
        <f t="shared" si="13"/>
        <v>0</v>
      </c>
      <c r="O855" s="1">
        <v>0</v>
      </c>
      <c r="P855" s="1"/>
      <c r="Q855" s="1">
        <v>72.099999999999994</v>
      </c>
    </row>
    <row r="856" spans="1:17">
      <c r="A856" s="1" t="s">
        <v>898</v>
      </c>
      <c r="B856" s="4">
        <v>45716</v>
      </c>
      <c r="C856" s="1" t="s">
        <v>2</v>
      </c>
      <c r="D856" s="1" t="s">
        <v>31</v>
      </c>
      <c r="E856" s="1" t="s">
        <v>37</v>
      </c>
      <c r="F856" s="1" t="s">
        <v>42</v>
      </c>
      <c r="G856" s="1" t="s">
        <v>39</v>
      </c>
      <c r="H856" s="1">
        <v>1</v>
      </c>
      <c r="I856" s="1">
        <v>1</v>
      </c>
      <c r="J856" s="1">
        <v>1</v>
      </c>
      <c r="K856" s="1">
        <v>1</v>
      </c>
      <c r="L856" s="1">
        <v>398.33</v>
      </c>
      <c r="M856" s="1">
        <v>0</v>
      </c>
      <c r="N856" s="1">
        <f t="shared" si="13"/>
        <v>0</v>
      </c>
      <c r="O856" s="1">
        <v>0</v>
      </c>
      <c r="P856" s="1">
        <v>5</v>
      </c>
      <c r="Q856" s="1">
        <v>85.1</v>
      </c>
    </row>
    <row r="857" spans="1:17">
      <c r="A857" s="1" t="s">
        <v>899</v>
      </c>
      <c r="B857" s="4">
        <v>45804</v>
      </c>
      <c r="C857" s="1" t="s">
        <v>2</v>
      </c>
      <c r="D857" s="1" t="s">
        <v>31</v>
      </c>
      <c r="E857" s="1" t="s">
        <v>37</v>
      </c>
      <c r="F857" s="1" t="s">
        <v>38</v>
      </c>
      <c r="G857" s="1" t="s">
        <v>34</v>
      </c>
      <c r="H857" s="1">
        <v>1</v>
      </c>
      <c r="I857" s="1">
        <v>1</v>
      </c>
      <c r="J857" s="1">
        <v>1</v>
      </c>
      <c r="K857" s="1">
        <v>0</v>
      </c>
      <c r="L857" s="1">
        <v>0</v>
      </c>
      <c r="M857" s="1">
        <v>0</v>
      </c>
      <c r="N857" s="1">
        <f t="shared" si="13"/>
        <v>0</v>
      </c>
      <c r="O857" s="1">
        <v>0</v>
      </c>
      <c r="P857" s="1"/>
      <c r="Q857" s="1">
        <v>49.5</v>
      </c>
    </row>
    <row r="858" spans="1:17">
      <c r="A858" s="1" t="s">
        <v>900</v>
      </c>
      <c r="B858" s="4">
        <v>45794</v>
      </c>
      <c r="C858" s="1" t="s">
        <v>2</v>
      </c>
      <c r="D858" s="1" t="s">
        <v>45</v>
      </c>
      <c r="E858" s="1" t="s">
        <v>37</v>
      </c>
      <c r="F858" s="1" t="s">
        <v>42</v>
      </c>
      <c r="G858" s="1" t="s">
        <v>43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1</v>
      </c>
      <c r="N858" s="1">
        <f t="shared" si="13"/>
        <v>1</v>
      </c>
      <c r="O858" s="1">
        <v>0</v>
      </c>
      <c r="P858" s="1"/>
      <c r="Q858" s="1">
        <v>79</v>
      </c>
    </row>
    <row r="859" spans="1:17">
      <c r="A859" s="1" t="s">
        <v>901</v>
      </c>
      <c r="B859" s="4">
        <v>45667</v>
      </c>
      <c r="C859" s="1" t="s">
        <v>2</v>
      </c>
      <c r="D859" s="1" t="s">
        <v>36</v>
      </c>
      <c r="E859" s="1" t="s">
        <v>32</v>
      </c>
      <c r="F859" s="1" t="s">
        <v>54</v>
      </c>
      <c r="G859" s="1" t="s">
        <v>39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f t="shared" si="13"/>
        <v>0</v>
      </c>
      <c r="O859" s="1">
        <v>0</v>
      </c>
      <c r="P859" s="1"/>
      <c r="Q859" s="1">
        <v>71.8</v>
      </c>
    </row>
    <row r="860" spans="1:17">
      <c r="A860" s="1" t="s">
        <v>902</v>
      </c>
      <c r="B860" s="4">
        <v>45769</v>
      </c>
      <c r="C860" s="1" t="s">
        <v>2</v>
      </c>
      <c r="D860" s="1" t="s">
        <v>31</v>
      </c>
      <c r="E860" s="1" t="s">
        <v>37</v>
      </c>
      <c r="F860" s="1" t="s">
        <v>33</v>
      </c>
      <c r="G860" s="1" t="s">
        <v>34</v>
      </c>
      <c r="H860" s="1">
        <v>1</v>
      </c>
      <c r="I860" s="1">
        <v>1</v>
      </c>
      <c r="J860" s="1">
        <v>1</v>
      </c>
      <c r="K860" s="1">
        <v>1</v>
      </c>
      <c r="L860" s="1">
        <v>1117.54</v>
      </c>
      <c r="M860" s="1">
        <v>0</v>
      </c>
      <c r="N860" s="1">
        <f t="shared" si="13"/>
        <v>0</v>
      </c>
      <c r="O860" s="1">
        <v>0</v>
      </c>
      <c r="P860" s="1">
        <v>6</v>
      </c>
      <c r="Q860" s="1">
        <v>60.4</v>
      </c>
    </row>
    <row r="861" spans="1:17">
      <c r="A861" s="1" t="s">
        <v>903</v>
      </c>
      <c r="B861" s="4">
        <v>45718</v>
      </c>
      <c r="C861" s="1" t="s">
        <v>2</v>
      </c>
      <c r="D861" s="1" t="s">
        <v>45</v>
      </c>
      <c r="E861" s="1" t="s">
        <v>32</v>
      </c>
      <c r="F861" s="1" t="s">
        <v>38</v>
      </c>
      <c r="G861" s="1" t="s">
        <v>34</v>
      </c>
      <c r="H861" s="1">
        <v>1</v>
      </c>
      <c r="I861" s="1">
        <v>0</v>
      </c>
      <c r="J861" s="1">
        <v>0</v>
      </c>
      <c r="K861" s="1">
        <v>0</v>
      </c>
      <c r="L861" s="1">
        <v>0</v>
      </c>
      <c r="M861" s="1">
        <v>2</v>
      </c>
      <c r="N861" s="1">
        <f t="shared" si="13"/>
        <v>1</v>
      </c>
      <c r="O861" s="1">
        <v>0</v>
      </c>
      <c r="P861" s="1"/>
      <c r="Q861" s="1">
        <v>38.299999999999997</v>
      </c>
    </row>
    <row r="862" spans="1:17">
      <c r="A862" s="1" t="s">
        <v>904</v>
      </c>
      <c r="B862" s="4">
        <v>45739</v>
      </c>
      <c r="C862" s="1" t="s">
        <v>2</v>
      </c>
      <c r="D862" s="1" t="s">
        <v>41</v>
      </c>
      <c r="E862" s="1" t="s">
        <v>37</v>
      </c>
      <c r="F862" s="1" t="s">
        <v>42</v>
      </c>
      <c r="G862" s="1" t="s">
        <v>39</v>
      </c>
      <c r="H862" s="1">
        <v>1</v>
      </c>
      <c r="I862" s="1">
        <v>1</v>
      </c>
      <c r="J862" s="1">
        <v>1</v>
      </c>
      <c r="K862" s="1">
        <v>0</v>
      </c>
      <c r="L862" s="1">
        <v>0</v>
      </c>
      <c r="M862" s="1">
        <v>0</v>
      </c>
      <c r="N862" s="1">
        <f t="shared" si="13"/>
        <v>0</v>
      </c>
      <c r="O862" s="1">
        <v>0</v>
      </c>
      <c r="P862" s="1"/>
      <c r="Q862" s="1">
        <v>79.599999999999994</v>
      </c>
    </row>
    <row r="863" spans="1:17">
      <c r="A863" s="1" t="s">
        <v>905</v>
      </c>
      <c r="B863" s="4">
        <v>45700</v>
      </c>
      <c r="C863" s="1" t="s">
        <v>2</v>
      </c>
      <c r="D863" s="1" t="s">
        <v>41</v>
      </c>
      <c r="E863" s="1" t="s">
        <v>37</v>
      </c>
      <c r="F863" s="1" t="s">
        <v>33</v>
      </c>
      <c r="G863" s="1" t="s">
        <v>39</v>
      </c>
      <c r="H863" s="1">
        <v>1</v>
      </c>
      <c r="I863" s="1">
        <v>1</v>
      </c>
      <c r="J863" s="1">
        <v>1</v>
      </c>
      <c r="K863" s="1">
        <v>0</v>
      </c>
      <c r="L863" s="1">
        <v>0</v>
      </c>
      <c r="M863" s="1">
        <v>0</v>
      </c>
      <c r="N863" s="1">
        <f t="shared" si="13"/>
        <v>0</v>
      </c>
      <c r="O863" s="1">
        <v>0</v>
      </c>
      <c r="P863" s="1"/>
      <c r="Q863" s="1">
        <v>71.900000000000006</v>
      </c>
    </row>
    <row r="864" spans="1:17">
      <c r="A864" s="1" t="s">
        <v>906</v>
      </c>
      <c r="B864" s="4">
        <v>45780</v>
      </c>
      <c r="C864" s="1" t="s">
        <v>2</v>
      </c>
      <c r="D864" s="1" t="s">
        <v>45</v>
      </c>
      <c r="E864" s="1" t="s">
        <v>37</v>
      </c>
      <c r="F864" s="1" t="s">
        <v>52</v>
      </c>
      <c r="G864" s="1" t="s">
        <v>34</v>
      </c>
      <c r="H864" s="1">
        <v>1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f t="shared" si="13"/>
        <v>0</v>
      </c>
      <c r="O864" s="1">
        <v>0</v>
      </c>
      <c r="P864" s="1"/>
      <c r="Q864" s="1">
        <v>54.6</v>
      </c>
    </row>
    <row r="865" spans="1:17">
      <c r="A865" s="1" t="s">
        <v>907</v>
      </c>
      <c r="B865" s="4">
        <v>45744</v>
      </c>
      <c r="C865" s="1" t="s">
        <v>2</v>
      </c>
      <c r="D865" s="1" t="s">
        <v>31</v>
      </c>
      <c r="E865" s="1" t="s">
        <v>32</v>
      </c>
      <c r="F865" s="1" t="s">
        <v>54</v>
      </c>
      <c r="G865" s="1" t="s">
        <v>39</v>
      </c>
      <c r="H865" s="1">
        <v>1</v>
      </c>
      <c r="I865" s="1">
        <v>0</v>
      </c>
      <c r="J865" s="1">
        <v>0</v>
      </c>
      <c r="K865" s="1">
        <v>0</v>
      </c>
      <c r="L865" s="1">
        <v>0</v>
      </c>
      <c r="M865" s="1">
        <v>3</v>
      </c>
      <c r="N865" s="1">
        <f t="shared" si="13"/>
        <v>1</v>
      </c>
      <c r="O865" s="1">
        <v>0</v>
      </c>
      <c r="P865" s="1"/>
      <c r="Q865" s="1">
        <v>49.3</v>
      </c>
    </row>
    <row r="866" spans="1:17">
      <c r="A866" s="1" t="s">
        <v>908</v>
      </c>
      <c r="B866" s="4">
        <v>45728</v>
      </c>
      <c r="C866" s="1" t="s">
        <v>2</v>
      </c>
      <c r="D866" s="1" t="s">
        <v>31</v>
      </c>
      <c r="E866" s="1" t="s">
        <v>37</v>
      </c>
      <c r="F866" s="1" t="s">
        <v>54</v>
      </c>
      <c r="G866" s="1" t="s">
        <v>34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1</v>
      </c>
      <c r="N866" s="1">
        <f t="shared" si="13"/>
        <v>1</v>
      </c>
      <c r="O866" s="1">
        <v>0</v>
      </c>
      <c r="P866" s="1"/>
      <c r="Q866" s="1">
        <v>66.900000000000006</v>
      </c>
    </row>
    <row r="867" spans="1:17">
      <c r="A867" s="1" t="s">
        <v>909</v>
      </c>
      <c r="B867" s="4">
        <v>45774</v>
      </c>
      <c r="C867" s="1" t="s">
        <v>2</v>
      </c>
      <c r="D867" s="1" t="s">
        <v>41</v>
      </c>
      <c r="E867" s="1" t="s">
        <v>37</v>
      </c>
      <c r="F867" s="1" t="s">
        <v>42</v>
      </c>
      <c r="G867" s="1" t="s">
        <v>39</v>
      </c>
      <c r="H867" s="1">
        <v>1</v>
      </c>
      <c r="I867" s="1">
        <v>0</v>
      </c>
      <c r="J867" s="1">
        <v>0</v>
      </c>
      <c r="K867" s="1">
        <v>0</v>
      </c>
      <c r="L867" s="1">
        <v>0</v>
      </c>
      <c r="M867" s="1">
        <v>1</v>
      </c>
      <c r="N867" s="1">
        <f t="shared" si="13"/>
        <v>1</v>
      </c>
      <c r="O867" s="1">
        <v>0</v>
      </c>
      <c r="P867" s="1"/>
      <c r="Q867" s="1">
        <v>77.8</v>
      </c>
    </row>
    <row r="868" spans="1:17">
      <c r="A868" s="1" t="s">
        <v>910</v>
      </c>
      <c r="B868" s="4">
        <v>45749</v>
      </c>
      <c r="C868" s="1" t="s">
        <v>2</v>
      </c>
      <c r="D868" s="1" t="s">
        <v>45</v>
      </c>
      <c r="E868" s="1" t="s">
        <v>37</v>
      </c>
      <c r="F868" s="1" t="s">
        <v>52</v>
      </c>
      <c r="G868" s="1" t="s">
        <v>34</v>
      </c>
      <c r="H868" s="1">
        <v>1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f t="shared" si="13"/>
        <v>0</v>
      </c>
      <c r="O868" s="1">
        <v>0</v>
      </c>
      <c r="P868" s="1"/>
      <c r="Q868" s="1">
        <v>63</v>
      </c>
    </row>
    <row r="869" spans="1:17">
      <c r="A869" s="1" t="s">
        <v>911</v>
      </c>
      <c r="B869" s="4">
        <v>45768</v>
      </c>
      <c r="C869" s="1" t="s">
        <v>2</v>
      </c>
      <c r="D869" s="1" t="s">
        <v>31</v>
      </c>
      <c r="E869" s="1" t="s">
        <v>37</v>
      </c>
      <c r="F869" s="1" t="s">
        <v>54</v>
      </c>
      <c r="G869" s="1" t="s">
        <v>39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f t="shared" si="13"/>
        <v>0</v>
      </c>
      <c r="O869" s="1">
        <v>0</v>
      </c>
      <c r="P869" s="1"/>
      <c r="Q869" s="1">
        <v>79.8</v>
      </c>
    </row>
    <row r="870" spans="1:17">
      <c r="A870" s="1" t="s">
        <v>912</v>
      </c>
      <c r="B870" s="4">
        <v>45683</v>
      </c>
      <c r="C870" s="1" t="s">
        <v>2</v>
      </c>
      <c r="D870" s="1" t="s">
        <v>36</v>
      </c>
      <c r="E870" s="1" t="s">
        <v>32</v>
      </c>
      <c r="F870" s="1" t="s">
        <v>38</v>
      </c>
      <c r="G870" s="1" t="s">
        <v>34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f t="shared" si="13"/>
        <v>0</v>
      </c>
      <c r="O870" s="1">
        <v>0</v>
      </c>
      <c r="P870" s="1"/>
      <c r="Q870" s="1">
        <v>69.900000000000006</v>
      </c>
    </row>
    <row r="871" spans="1:17">
      <c r="A871" s="1" t="s">
        <v>913</v>
      </c>
      <c r="B871" s="4">
        <v>45663</v>
      </c>
      <c r="C871" s="1" t="s">
        <v>2</v>
      </c>
      <c r="D871" s="1" t="s">
        <v>36</v>
      </c>
      <c r="E871" s="1" t="s">
        <v>37</v>
      </c>
      <c r="F871" s="1" t="s">
        <v>38</v>
      </c>
      <c r="G871" s="1" t="s">
        <v>39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1</v>
      </c>
      <c r="N871" s="1">
        <f t="shared" si="13"/>
        <v>1</v>
      </c>
      <c r="O871" s="1">
        <v>0</v>
      </c>
      <c r="P871" s="1"/>
      <c r="Q871" s="1">
        <v>66.400000000000006</v>
      </c>
    </row>
    <row r="872" spans="1:17">
      <c r="A872" s="1" t="s">
        <v>914</v>
      </c>
      <c r="B872" s="4">
        <v>45695</v>
      </c>
      <c r="C872" s="1" t="s">
        <v>2</v>
      </c>
      <c r="D872" s="1" t="s">
        <v>41</v>
      </c>
      <c r="E872" s="1" t="s">
        <v>37</v>
      </c>
      <c r="F872" s="1" t="s">
        <v>38</v>
      </c>
      <c r="G872" s="1" t="s">
        <v>39</v>
      </c>
      <c r="H872" s="1">
        <v>1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f t="shared" si="13"/>
        <v>0</v>
      </c>
      <c r="O872" s="1">
        <v>0</v>
      </c>
      <c r="P872" s="1"/>
      <c r="Q872" s="1">
        <v>27.6</v>
      </c>
    </row>
    <row r="873" spans="1:17">
      <c r="A873" s="1" t="s">
        <v>915</v>
      </c>
      <c r="B873" s="4">
        <v>45784</v>
      </c>
      <c r="C873" s="1" t="s">
        <v>2</v>
      </c>
      <c r="D873" s="1" t="s">
        <v>36</v>
      </c>
      <c r="E873" s="1" t="s">
        <v>37</v>
      </c>
      <c r="F873" s="1" t="s">
        <v>38</v>
      </c>
      <c r="G873" s="1" t="s">
        <v>43</v>
      </c>
      <c r="H873" s="1">
        <v>1</v>
      </c>
      <c r="I873" s="1">
        <v>0</v>
      </c>
      <c r="J873" s="1">
        <v>0</v>
      </c>
      <c r="K873" s="1">
        <v>0</v>
      </c>
      <c r="L873" s="1">
        <v>0</v>
      </c>
      <c r="M873" s="1">
        <v>1</v>
      </c>
      <c r="N873" s="1">
        <f t="shared" si="13"/>
        <v>1</v>
      </c>
      <c r="O873" s="1">
        <v>0</v>
      </c>
      <c r="P873" s="1"/>
      <c r="Q873" s="1">
        <v>56.5</v>
      </c>
    </row>
    <row r="874" spans="1:17">
      <c r="A874" s="1" t="s">
        <v>916</v>
      </c>
      <c r="B874" s="4">
        <v>45769</v>
      </c>
      <c r="C874" s="1" t="s">
        <v>2</v>
      </c>
      <c r="D874" s="1" t="s">
        <v>36</v>
      </c>
      <c r="E874" s="1"/>
      <c r="F874" s="1" t="s">
        <v>54</v>
      </c>
      <c r="G874" s="1" t="s">
        <v>39</v>
      </c>
      <c r="H874" s="1">
        <v>1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f t="shared" si="13"/>
        <v>0</v>
      </c>
      <c r="O874" s="1">
        <v>0</v>
      </c>
      <c r="P874" s="1"/>
      <c r="Q874" s="1">
        <v>67.8</v>
      </c>
    </row>
    <row r="875" spans="1:17">
      <c r="A875" s="1" t="s">
        <v>917</v>
      </c>
      <c r="B875" s="4">
        <v>45781</v>
      </c>
      <c r="C875" s="1" t="s">
        <v>2</v>
      </c>
      <c r="D875" s="1" t="s">
        <v>36</v>
      </c>
      <c r="E875" s="1" t="s">
        <v>32</v>
      </c>
      <c r="F875" s="1" t="s">
        <v>54</v>
      </c>
      <c r="G875" s="1" t="s">
        <v>39</v>
      </c>
      <c r="H875" s="1">
        <v>1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f t="shared" si="13"/>
        <v>0</v>
      </c>
      <c r="O875" s="1">
        <v>0</v>
      </c>
      <c r="P875" s="1"/>
      <c r="Q875" s="1">
        <v>80</v>
      </c>
    </row>
    <row r="876" spans="1:17">
      <c r="A876" s="1" t="s">
        <v>918</v>
      </c>
      <c r="B876" s="4">
        <v>45793</v>
      </c>
      <c r="C876" s="1" t="s">
        <v>2</v>
      </c>
      <c r="D876" s="1" t="s">
        <v>45</v>
      </c>
      <c r="E876" s="1" t="s">
        <v>37</v>
      </c>
      <c r="F876" s="1" t="s">
        <v>54</v>
      </c>
      <c r="G876" s="1" t="s">
        <v>34</v>
      </c>
      <c r="H876" s="1">
        <v>1</v>
      </c>
      <c r="I876" s="1">
        <v>1</v>
      </c>
      <c r="J876" s="1">
        <v>1</v>
      </c>
      <c r="K876" s="1">
        <v>0</v>
      </c>
      <c r="L876" s="1">
        <v>0</v>
      </c>
      <c r="M876" s="1">
        <v>1</v>
      </c>
      <c r="N876" s="1">
        <f t="shared" si="13"/>
        <v>1</v>
      </c>
      <c r="O876" s="1">
        <v>0</v>
      </c>
      <c r="P876" s="1"/>
      <c r="Q876" s="1">
        <v>80.900000000000006</v>
      </c>
    </row>
    <row r="877" spans="1:17">
      <c r="A877" s="1" t="s">
        <v>919</v>
      </c>
      <c r="B877" s="4">
        <v>45699</v>
      </c>
      <c r="C877" s="1" t="s">
        <v>2</v>
      </c>
      <c r="D877" s="1" t="s">
        <v>36</v>
      </c>
      <c r="E877" s="1" t="s">
        <v>37</v>
      </c>
      <c r="F877" s="1" t="s">
        <v>42</v>
      </c>
      <c r="G877" s="1" t="s">
        <v>39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f t="shared" si="13"/>
        <v>0</v>
      </c>
      <c r="O877" s="1">
        <v>0</v>
      </c>
      <c r="P877" s="1"/>
      <c r="Q877" s="1">
        <v>34.5</v>
      </c>
    </row>
    <row r="878" spans="1:17">
      <c r="A878" s="1" t="s">
        <v>920</v>
      </c>
      <c r="B878" s="4">
        <v>45786</v>
      </c>
      <c r="C878" s="1" t="s">
        <v>2</v>
      </c>
      <c r="D878" s="1" t="s">
        <v>41</v>
      </c>
      <c r="E878" s="1" t="s">
        <v>32</v>
      </c>
      <c r="F878" s="1" t="s">
        <v>38</v>
      </c>
      <c r="G878" s="1" t="s">
        <v>43</v>
      </c>
      <c r="H878" s="1">
        <v>1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f t="shared" si="13"/>
        <v>0</v>
      </c>
      <c r="O878" s="1">
        <v>0</v>
      </c>
      <c r="P878" s="1"/>
      <c r="Q878" s="1">
        <v>73.5</v>
      </c>
    </row>
    <row r="879" spans="1:17">
      <c r="A879" s="1" t="s">
        <v>921</v>
      </c>
      <c r="B879" s="4">
        <v>45697</v>
      </c>
      <c r="C879" s="1" t="s">
        <v>2</v>
      </c>
      <c r="D879" s="1" t="s">
        <v>45</v>
      </c>
      <c r="E879" s="1" t="s">
        <v>32</v>
      </c>
      <c r="F879" s="1" t="s">
        <v>42</v>
      </c>
      <c r="G879" s="1" t="s">
        <v>39</v>
      </c>
      <c r="H879" s="1">
        <v>1</v>
      </c>
      <c r="I879" s="1">
        <v>1</v>
      </c>
      <c r="J879" s="1">
        <v>0</v>
      </c>
      <c r="K879" s="1">
        <v>0</v>
      </c>
      <c r="L879" s="1">
        <v>0</v>
      </c>
      <c r="M879" s="1">
        <v>0</v>
      </c>
      <c r="N879" s="1">
        <f t="shared" si="13"/>
        <v>0</v>
      </c>
      <c r="O879" s="1">
        <v>0</v>
      </c>
      <c r="P879" s="1"/>
      <c r="Q879" s="1">
        <v>70</v>
      </c>
    </row>
    <row r="880" spans="1:17">
      <c r="A880" s="1" t="s">
        <v>922</v>
      </c>
      <c r="B880" s="4">
        <v>45799</v>
      </c>
      <c r="C880" s="1" t="s">
        <v>2</v>
      </c>
      <c r="D880" s="1" t="s">
        <v>36</v>
      </c>
      <c r="E880" s="1" t="s">
        <v>37</v>
      </c>
      <c r="F880" s="1" t="s">
        <v>54</v>
      </c>
      <c r="G880" s="1" t="s">
        <v>34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f t="shared" si="13"/>
        <v>0</v>
      </c>
      <c r="O880" s="1">
        <v>0</v>
      </c>
      <c r="P880" s="1"/>
      <c r="Q880" s="1">
        <v>86.9</v>
      </c>
    </row>
    <row r="881" spans="1:17">
      <c r="A881" s="1" t="s">
        <v>923</v>
      </c>
      <c r="B881" s="4">
        <v>45801</v>
      </c>
      <c r="C881" s="1" t="s">
        <v>2</v>
      </c>
      <c r="D881" s="1" t="s">
        <v>41</v>
      </c>
      <c r="E881" s="1" t="s">
        <v>37</v>
      </c>
      <c r="F881" s="1" t="s">
        <v>54</v>
      </c>
      <c r="G881" s="1" t="s">
        <v>34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f t="shared" si="13"/>
        <v>0</v>
      </c>
      <c r="O881" s="1">
        <v>0</v>
      </c>
      <c r="P881" s="1"/>
      <c r="Q881" s="1">
        <v>66.900000000000006</v>
      </c>
    </row>
    <row r="882" spans="1:17">
      <c r="A882" s="1" t="s">
        <v>924</v>
      </c>
      <c r="B882" s="4">
        <v>45774</v>
      </c>
      <c r="C882" s="1" t="s">
        <v>2</v>
      </c>
      <c r="D882" s="1" t="s">
        <v>45</v>
      </c>
      <c r="E882" s="1" t="s">
        <v>32</v>
      </c>
      <c r="F882" s="1" t="s">
        <v>54</v>
      </c>
      <c r="G882" s="1" t="s">
        <v>34</v>
      </c>
      <c r="H882" s="1">
        <v>1</v>
      </c>
      <c r="I882" s="1">
        <v>1</v>
      </c>
      <c r="J882" s="1">
        <v>1</v>
      </c>
      <c r="K882" s="1">
        <v>0</v>
      </c>
      <c r="L882" s="1">
        <v>0</v>
      </c>
      <c r="M882" s="1">
        <v>0</v>
      </c>
      <c r="N882" s="1">
        <f t="shared" si="13"/>
        <v>0</v>
      </c>
      <c r="O882" s="1">
        <v>0</v>
      </c>
      <c r="P882" s="1"/>
      <c r="Q882" s="1">
        <v>58.3</v>
      </c>
    </row>
    <row r="883" spans="1:17">
      <c r="A883" s="1" t="s">
        <v>925</v>
      </c>
      <c r="B883" s="4">
        <v>45735</v>
      </c>
      <c r="C883" s="1" t="s">
        <v>2</v>
      </c>
      <c r="D883" s="1" t="s">
        <v>41</v>
      </c>
      <c r="E883" s="1" t="s">
        <v>37</v>
      </c>
      <c r="F883" s="1" t="s">
        <v>42</v>
      </c>
      <c r="G883" s="1" t="s">
        <v>39</v>
      </c>
      <c r="H883" s="1">
        <v>1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f t="shared" si="13"/>
        <v>0</v>
      </c>
      <c r="O883" s="1">
        <v>0</v>
      </c>
      <c r="P883" s="1"/>
      <c r="Q883" s="1">
        <v>45</v>
      </c>
    </row>
    <row r="884" spans="1:17">
      <c r="A884" s="1" t="s">
        <v>926</v>
      </c>
      <c r="B884" s="4">
        <v>45797</v>
      </c>
      <c r="C884" s="1" t="s">
        <v>2</v>
      </c>
      <c r="D884" s="1" t="s">
        <v>45</v>
      </c>
      <c r="E884" s="1" t="s">
        <v>37</v>
      </c>
      <c r="F884" s="1" t="s">
        <v>38</v>
      </c>
      <c r="G884" s="1" t="s">
        <v>43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f t="shared" si="13"/>
        <v>0</v>
      </c>
      <c r="O884" s="1">
        <v>0</v>
      </c>
      <c r="P884" s="1"/>
      <c r="Q884" s="1">
        <v>60.8</v>
      </c>
    </row>
    <row r="885" spans="1:17">
      <c r="A885" s="1" t="s">
        <v>927</v>
      </c>
      <c r="B885" s="4">
        <v>45787</v>
      </c>
      <c r="C885" s="1" t="s">
        <v>2</v>
      </c>
      <c r="D885" s="1" t="s">
        <v>31</v>
      </c>
      <c r="E885" s="1" t="s">
        <v>37</v>
      </c>
      <c r="F885" s="1" t="s">
        <v>33</v>
      </c>
      <c r="G885" s="1" t="s">
        <v>43</v>
      </c>
      <c r="H885" s="1">
        <v>1</v>
      </c>
      <c r="I885" s="1">
        <v>0</v>
      </c>
      <c r="J885" s="1">
        <v>0</v>
      </c>
      <c r="K885" s="1">
        <v>0</v>
      </c>
      <c r="L885" s="1">
        <v>0</v>
      </c>
      <c r="M885" s="1">
        <v>4</v>
      </c>
      <c r="N885" s="1">
        <f t="shared" si="13"/>
        <v>1</v>
      </c>
      <c r="O885" s="1">
        <v>0</v>
      </c>
      <c r="P885" s="1"/>
      <c r="Q885" s="1">
        <v>53.7</v>
      </c>
    </row>
    <row r="886" spans="1:17">
      <c r="A886" s="1" t="s">
        <v>928</v>
      </c>
      <c r="B886" s="4">
        <v>45745</v>
      </c>
      <c r="C886" s="1" t="s">
        <v>2</v>
      </c>
      <c r="D886" s="1" t="s">
        <v>41</v>
      </c>
      <c r="E886" s="1" t="s">
        <v>37</v>
      </c>
      <c r="F886" s="1" t="s">
        <v>54</v>
      </c>
      <c r="G886" s="1" t="s">
        <v>39</v>
      </c>
      <c r="H886" s="1">
        <v>1</v>
      </c>
      <c r="I886" s="1">
        <v>1</v>
      </c>
      <c r="J886" s="1">
        <v>1</v>
      </c>
      <c r="K886" s="1">
        <v>0</v>
      </c>
      <c r="L886" s="1">
        <v>0</v>
      </c>
      <c r="M886" s="1">
        <v>0</v>
      </c>
      <c r="N886" s="1">
        <f t="shared" si="13"/>
        <v>0</v>
      </c>
      <c r="O886" s="1">
        <v>0</v>
      </c>
      <c r="P886" s="1"/>
      <c r="Q886" s="1">
        <v>48.8</v>
      </c>
    </row>
    <row r="887" spans="1:17">
      <c r="A887" s="1" t="s">
        <v>929</v>
      </c>
      <c r="B887" s="4">
        <v>45750</v>
      </c>
      <c r="C887" s="1" t="s">
        <v>2</v>
      </c>
      <c r="D887" s="1" t="s">
        <v>36</v>
      </c>
      <c r="E887" s="1" t="s">
        <v>32</v>
      </c>
      <c r="F887" s="1" t="s">
        <v>52</v>
      </c>
      <c r="G887" s="1" t="s">
        <v>34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f t="shared" si="13"/>
        <v>0</v>
      </c>
      <c r="O887" s="1">
        <v>0</v>
      </c>
      <c r="P887" s="1"/>
      <c r="Q887" s="1">
        <v>52.9</v>
      </c>
    </row>
    <row r="888" spans="1:17">
      <c r="A888" s="1" t="s">
        <v>930</v>
      </c>
      <c r="B888" s="4">
        <v>45807</v>
      </c>
      <c r="C888" s="1" t="s">
        <v>2</v>
      </c>
      <c r="D888" s="1" t="s">
        <v>45</v>
      </c>
      <c r="E888" s="1" t="s">
        <v>37</v>
      </c>
      <c r="F888" s="1" t="s">
        <v>33</v>
      </c>
      <c r="G888" s="1" t="s">
        <v>39</v>
      </c>
      <c r="H888" s="1">
        <v>1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f t="shared" si="13"/>
        <v>0</v>
      </c>
      <c r="O888" s="1">
        <v>0</v>
      </c>
      <c r="P888" s="1"/>
      <c r="Q888" s="1">
        <v>42.4</v>
      </c>
    </row>
    <row r="889" spans="1:17">
      <c r="A889" s="1" t="s">
        <v>931</v>
      </c>
      <c r="B889" s="4">
        <v>45753</v>
      </c>
      <c r="C889" s="1" t="s">
        <v>2</v>
      </c>
      <c r="D889" s="1" t="s">
        <v>41</v>
      </c>
      <c r="E889" s="1" t="s">
        <v>32</v>
      </c>
      <c r="F889" s="1" t="s">
        <v>33</v>
      </c>
      <c r="G889" s="1" t="s">
        <v>39</v>
      </c>
      <c r="H889" s="1">
        <v>1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f t="shared" si="13"/>
        <v>0</v>
      </c>
      <c r="O889" s="1">
        <v>0</v>
      </c>
      <c r="P889" s="1"/>
      <c r="Q889" s="1">
        <v>58.7</v>
      </c>
    </row>
    <row r="890" spans="1:17">
      <c r="A890" s="1" t="s">
        <v>932</v>
      </c>
      <c r="B890" s="4">
        <v>45730</v>
      </c>
      <c r="C890" s="1" t="s">
        <v>2</v>
      </c>
      <c r="D890" s="1" t="s">
        <v>31</v>
      </c>
      <c r="E890" s="1" t="s">
        <v>37</v>
      </c>
      <c r="F890" s="1" t="s">
        <v>52</v>
      </c>
      <c r="G890" s="1" t="s">
        <v>39</v>
      </c>
      <c r="H890" s="1">
        <v>1</v>
      </c>
      <c r="I890" s="1">
        <v>1</v>
      </c>
      <c r="J890" s="1">
        <v>1</v>
      </c>
      <c r="K890" s="1">
        <v>1</v>
      </c>
      <c r="L890" s="1">
        <v>2064.5500000000002</v>
      </c>
      <c r="M890" s="1">
        <v>0</v>
      </c>
      <c r="N890" s="1">
        <f t="shared" si="13"/>
        <v>0</v>
      </c>
      <c r="O890" s="1">
        <v>0</v>
      </c>
      <c r="P890" s="1">
        <v>1</v>
      </c>
      <c r="Q890" s="1">
        <v>67.8</v>
      </c>
    </row>
    <row r="891" spans="1:17">
      <c r="A891" s="1" t="s">
        <v>933</v>
      </c>
      <c r="B891" s="4">
        <v>45712</v>
      </c>
      <c r="C891" s="1" t="s">
        <v>2</v>
      </c>
      <c r="D891" s="1" t="s">
        <v>45</v>
      </c>
      <c r="E891" s="1" t="s">
        <v>32</v>
      </c>
      <c r="F891" s="1" t="s">
        <v>42</v>
      </c>
      <c r="G891" s="1" t="s">
        <v>34</v>
      </c>
      <c r="H891" s="1">
        <v>1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f t="shared" si="13"/>
        <v>0</v>
      </c>
      <c r="O891" s="1">
        <v>0</v>
      </c>
      <c r="P891" s="1"/>
      <c r="Q891" s="1">
        <v>62.6</v>
      </c>
    </row>
    <row r="892" spans="1:17">
      <c r="A892" s="1" t="s">
        <v>934</v>
      </c>
      <c r="B892" s="4">
        <v>45720</v>
      </c>
      <c r="C892" s="1" t="s">
        <v>2</v>
      </c>
      <c r="D892" s="1" t="s">
        <v>36</v>
      </c>
      <c r="E892" s="1" t="s">
        <v>37</v>
      </c>
      <c r="F892" s="1" t="s">
        <v>33</v>
      </c>
      <c r="G892" s="1" t="s">
        <v>34</v>
      </c>
      <c r="H892" s="1">
        <v>1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f t="shared" si="13"/>
        <v>0</v>
      </c>
      <c r="O892" s="1">
        <v>0</v>
      </c>
      <c r="P892" s="1"/>
      <c r="Q892" s="1">
        <v>82.4</v>
      </c>
    </row>
    <row r="893" spans="1:17">
      <c r="A893" s="1" t="s">
        <v>935</v>
      </c>
      <c r="B893" s="4">
        <v>45749</v>
      </c>
      <c r="C893" s="1" t="s">
        <v>2</v>
      </c>
      <c r="D893" s="1" t="s">
        <v>31</v>
      </c>
      <c r="E893" s="1" t="s">
        <v>37</v>
      </c>
      <c r="F893" s="1" t="s">
        <v>38</v>
      </c>
      <c r="G893" s="1" t="s">
        <v>39</v>
      </c>
      <c r="H893" s="1">
        <v>1</v>
      </c>
      <c r="I893" s="1">
        <v>1</v>
      </c>
      <c r="J893" s="1">
        <v>1</v>
      </c>
      <c r="K893" s="1">
        <v>0</v>
      </c>
      <c r="L893" s="1">
        <v>0</v>
      </c>
      <c r="M893" s="1">
        <v>0</v>
      </c>
      <c r="N893" s="1">
        <f t="shared" si="13"/>
        <v>0</v>
      </c>
      <c r="O893" s="1">
        <v>0</v>
      </c>
      <c r="P893" s="1"/>
      <c r="Q893" s="1">
        <v>50.4</v>
      </c>
    </row>
    <row r="894" spans="1:17">
      <c r="A894" s="1" t="s">
        <v>936</v>
      </c>
      <c r="B894" s="4">
        <v>45788</v>
      </c>
      <c r="C894" s="1" t="s">
        <v>2</v>
      </c>
      <c r="D894" s="1" t="s">
        <v>31</v>
      </c>
      <c r="E894" s="1" t="s">
        <v>37</v>
      </c>
      <c r="F894" s="1" t="s">
        <v>33</v>
      </c>
      <c r="G894" s="1" t="s">
        <v>43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f t="shared" si="13"/>
        <v>0</v>
      </c>
      <c r="O894" s="1">
        <v>0</v>
      </c>
      <c r="P894" s="1"/>
      <c r="Q894" s="1">
        <v>68.400000000000006</v>
      </c>
    </row>
    <row r="895" spans="1:17">
      <c r="A895" s="1" t="s">
        <v>937</v>
      </c>
      <c r="B895" s="4">
        <v>45787</v>
      </c>
      <c r="C895" s="1" t="s">
        <v>2</v>
      </c>
      <c r="D895" s="1" t="s">
        <v>36</v>
      </c>
      <c r="E895" s="1" t="s">
        <v>47</v>
      </c>
      <c r="F895" s="1" t="s">
        <v>42</v>
      </c>
      <c r="G895" s="1" t="s">
        <v>34</v>
      </c>
      <c r="H895" s="1">
        <v>1</v>
      </c>
      <c r="I895" s="1">
        <v>1</v>
      </c>
      <c r="J895" s="1">
        <v>1</v>
      </c>
      <c r="K895" s="1">
        <v>0</v>
      </c>
      <c r="L895" s="1">
        <v>0</v>
      </c>
      <c r="M895" s="1">
        <v>0</v>
      </c>
      <c r="N895" s="1">
        <f t="shared" si="13"/>
        <v>0</v>
      </c>
      <c r="O895" s="1">
        <v>0</v>
      </c>
      <c r="P895" s="1"/>
      <c r="Q895" s="1">
        <v>58.8</v>
      </c>
    </row>
    <row r="896" spans="1:17">
      <c r="A896" s="1" t="s">
        <v>938</v>
      </c>
      <c r="B896" s="4">
        <v>45783</v>
      </c>
      <c r="C896" s="1" t="s">
        <v>2</v>
      </c>
      <c r="D896" s="1" t="s">
        <v>36</v>
      </c>
      <c r="E896" s="1" t="s">
        <v>37</v>
      </c>
      <c r="F896" s="1" t="s">
        <v>52</v>
      </c>
      <c r="G896" s="1" t="s">
        <v>39</v>
      </c>
      <c r="H896" s="1">
        <v>1</v>
      </c>
      <c r="I896" s="1">
        <v>1</v>
      </c>
      <c r="J896" s="1">
        <v>0</v>
      </c>
      <c r="K896" s="1">
        <v>0</v>
      </c>
      <c r="L896" s="1">
        <v>0</v>
      </c>
      <c r="M896" s="1">
        <v>2</v>
      </c>
      <c r="N896" s="1">
        <f t="shared" si="13"/>
        <v>1</v>
      </c>
      <c r="O896" s="1">
        <v>0</v>
      </c>
      <c r="P896" s="1"/>
      <c r="Q896" s="1">
        <v>28.3</v>
      </c>
    </row>
    <row r="897" spans="1:17">
      <c r="A897" s="1" t="s">
        <v>939</v>
      </c>
      <c r="B897" s="4">
        <v>45699</v>
      </c>
      <c r="C897" s="1" t="s">
        <v>2</v>
      </c>
      <c r="D897" s="1" t="s">
        <v>36</v>
      </c>
      <c r="E897" s="1" t="s">
        <v>32</v>
      </c>
      <c r="F897" s="1" t="s">
        <v>42</v>
      </c>
      <c r="G897" s="1" t="s">
        <v>39</v>
      </c>
      <c r="H897" s="1">
        <v>1</v>
      </c>
      <c r="I897" s="1">
        <v>1</v>
      </c>
      <c r="J897" s="1">
        <v>0</v>
      </c>
      <c r="K897" s="1">
        <v>0</v>
      </c>
      <c r="L897" s="1">
        <v>0</v>
      </c>
      <c r="M897" s="1">
        <v>0</v>
      </c>
      <c r="N897" s="1">
        <f t="shared" si="13"/>
        <v>0</v>
      </c>
      <c r="O897" s="1">
        <v>0</v>
      </c>
      <c r="P897" s="1"/>
      <c r="Q897" s="1">
        <v>44.1</v>
      </c>
    </row>
    <row r="898" spans="1:17">
      <c r="A898" s="1" t="s">
        <v>940</v>
      </c>
      <c r="B898" s="4">
        <v>45786</v>
      </c>
      <c r="C898" s="1" t="s">
        <v>2</v>
      </c>
      <c r="D898" s="1" t="s">
        <v>45</v>
      </c>
      <c r="E898" s="1" t="s">
        <v>37</v>
      </c>
      <c r="F898" s="1" t="s">
        <v>42</v>
      </c>
      <c r="G898" s="1" t="s">
        <v>43</v>
      </c>
      <c r="H898" s="1">
        <v>1</v>
      </c>
      <c r="I898" s="1">
        <v>1</v>
      </c>
      <c r="J898" s="1">
        <v>0</v>
      </c>
      <c r="K898" s="1">
        <v>0</v>
      </c>
      <c r="L898" s="1">
        <v>0</v>
      </c>
      <c r="M898" s="1">
        <v>0</v>
      </c>
      <c r="N898" s="1">
        <f t="shared" si="13"/>
        <v>0</v>
      </c>
      <c r="O898" s="1">
        <v>0</v>
      </c>
      <c r="P898" s="1"/>
      <c r="Q898" s="1">
        <v>66.7</v>
      </c>
    </row>
    <row r="899" spans="1:17">
      <c r="A899" s="1" t="s">
        <v>941</v>
      </c>
      <c r="B899" s="4">
        <v>45690</v>
      </c>
      <c r="C899" s="1" t="s">
        <v>2</v>
      </c>
      <c r="D899" s="1" t="s">
        <v>45</v>
      </c>
      <c r="E899" s="1" t="s">
        <v>37</v>
      </c>
      <c r="F899" s="1"/>
      <c r="G899" s="1" t="s">
        <v>39</v>
      </c>
      <c r="H899" s="1">
        <v>1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f t="shared" ref="N899:N962" si="14">IF(M899&gt;0,1,0)</f>
        <v>0</v>
      </c>
      <c r="O899" s="1">
        <v>0</v>
      </c>
      <c r="P899" s="1"/>
      <c r="Q899" s="1">
        <v>100</v>
      </c>
    </row>
    <row r="900" spans="1:17">
      <c r="A900" s="1" t="s">
        <v>942</v>
      </c>
      <c r="B900" s="4">
        <v>45750</v>
      </c>
      <c r="C900" s="1" t="s">
        <v>2</v>
      </c>
      <c r="D900" s="1" t="s">
        <v>45</v>
      </c>
      <c r="E900" s="1" t="s">
        <v>37</v>
      </c>
      <c r="F900" s="1" t="s">
        <v>54</v>
      </c>
      <c r="G900" s="1" t="s">
        <v>39</v>
      </c>
      <c r="H900" s="1">
        <v>1</v>
      </c>
      <c r="I900" s="1">
        <v>1</v>
      </c>
      <c r="J900" s="1">
        <v>0</v>
      </c>
      <c r="K900" s="1">
        <v>0</v>
      </c>
      <c r="L900" s="1">
        <v>0</v>
      </c>
      <c r="M900" s="1">
        <v>0</v>
      </c>
      <c r="N900" s="1">
        <f t="shared" si="14"/>
        <v>0</v>
      </c>
      <c r="O900" s="1">
        <v>0</v>
      </c>
      <c r="P900" s="1"/>
      <c r="Q900" s="1">
        <v>87.5</v>
      </c>
    </row>
    <row r="901" spans="1:17">
      <c r="A901" s="1" t="s">
        <v>943</v>
      </c>
      <c r="B901" s="4">
        <v>45703</v>
      </c>
      <c r="C901" s="1" t="s">
        <v>2</v>
      </c>
      <c r="D901" s="1" t="s">
        <v>31</v>
      </c>
      <c r="E901" s="1" t="s">
        <v>32</v>
      </c>
      <c r="F901" s="1" t="s">
        <v>38</v>
      </c>
      <c r="G901" s="1" t="s">
        <v>34</v>
      </c>
      <c r="H901" s="1">
        <v>1</v>
      </c>
      <c r="I901" s="1">
        <v>0</v>
      </c>
      <c r="J901" s="1">
        <v>0</v>
      </c>
      <c r="K901" s="1">
        <v>0</v>
      </c>
      <c r="L901" s="1">
        <v>0</v>
      </c>
      <c r="M901" s="1">
        <v>2</v>
      </c>
      <c r="N901" s="1">
        <f t="shared" si="14"/>
        <v>1</v>
      </c>
      <c r="O901" s="1">
        <v>0</v>
      </c>
      <c r="P901" s="1"/>
      <c r="Q901" s="1">
        <v>65.400000000000006</v>
      </c>
    </row>
    <row r="902" spans="1:17">
      <c r="A902" s="1" t="s">
        <v>944</v>
      </c>
      <c r="B902" s="4">
        <v>45765</v>
      </c>
      <c r="C902" s="1" t="s">
        <v>2</v>
      </c>
      <c r="D902" s="1" t="s">
        <v>45</v>
      </c>
      <c r="E902" s="1" t="s">
        <v>32</v>
      </c>
      <c r="F902" s="1" t="s">
        <v>38</v>
      </c>
      <c r="G902" s="1" t="s">
        <v>39</v>
      </c>
      <c r="H902" s="1">
        <v>1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f t="shared" si="14"/>
        <v>0</v>
      </c>
      <c r="O902" s="1">
        <v>0</v>
      </c>
      <c r="P902" s="1"/>
      <c r="Q902" s="1">
        <v>22.9</v>
      </c>
    </row>
    <row r="903" spans="1:17">
      <c r="A903" s="1" t="s">
        <v>945</v>
      </c>
      <c r="B903" s="4">
        <v>45730</v>
      </c>
      <c r="C903" s="1" t="s">
        <v>2</v>
      </c>
      <c r="D903" s="1" t="s">
        <v>36</v>
      </c>
      <c r="E903" s="1" t="s">
        <v>32</v>
      </c>
      <c r="F903" s="1" t="s">
        <v>38</v>
      </c>
      <c r="G903" s="1" t="s">
        <v>43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f t="shared" si="14"/>
        <v>0</v>
      </c>
      <c r="O903" s="1">
        <v>0</v>
      </c>
      <c r="P903" s="1"/>
      <c r="Q903" s="1">
        <v>64.599999999999994</v>
      </c>
    </row>
    <row r="904" spans="1:17">
      <c r="A904" s="1" t="s">
        <v>946</v>
      </c>
      <c r="B904" s="4">
        <v>45745</v>
      </c>
      <c r="C904" s="1" t="s">
        <v>2</v>
      </c>
      <c r="D904" s="1" t="s">
        <v>45</v>
      </c>
      <c r="E904" s="1" t="s">
        <v>37</v>
      </c>
      <c r="F904" s="1" t="s">
        <v>52</v>
      </c>
      <c r="G904" s="1" t="s">
        <v>39</v>
      </c>
      <c r="H904" s="1">
        <v>1</v>
      </c>
      <c r="I904" s="1">
        <v>0</v>
      </c>
      <c r="J904" s="1">
        <v>0</v>
      </c>
      <c r="K904" s="1">
        <v>0</v>
      </c>
      <c r="L904" s="1">
        <v>0</v>
      </c>
      <c r="M904" s="1">
        <v>2</v>
      </c>
      <c r="N904" s="1">
        <f t="shared" si="14"/>
        <v>1</v>
      </c>
      <c r="O904" s="1">
        <v>0</v>
      </c>
      <c r="P904" s="1"/>
      <c r="Q904" s="1">
        <v>54.4</v>
      </c>
    </row>
    <row r="905" spans="1:17">
      <c r="A905" s="1" t="s">
        <v>947</v>
      </c>
      <c r="B905" s="4">
        <v>45701</v>
      </c>
      <c r="C905" s="1" t="s">
        <v>2</v>
      </c>
      <c r="D905" s="1" t="s">
        <v>31</v>
      </c>
      <c r="E905" s="1" t="s">
        <v>32</v>
      </c>
      <c r="F905" s="1" t="s">
        <v>38</v>
      </c>
      <c r="G905" s="1" t="s">
        <v>39</v>
      </c>
      <c r="H905" s="1">
        <v>1</v>
      </c>
      <c r="I905" s="1">
        <v>1</v>
      </c>
      <c r="J905" s="1">
        <v>1</v>
      </c>
      <c r="K905" s="1">
        <v>0</v>
      </c>
      <c r="L905" s="1">
        <v>0</v>
      </c>
      <c r="M905" s="1">
        <v>0</v>
      </c>
      <c r="N905" s="1">
        <f t="shared" si="14"/>
        <v>0</v>
      </c>
      <c r="O905" s="1">
        <v>0</v>
      </c>
      <c r="P905" s="1"/>
      <c r="Q905" s="1">
        <v>56.8</v>
      </c>
    </row>
    <row r="906" spans="1:17">
      <c r="A906" s="1" t="s">
        <v>948</v>
      </c>
      <c r="B906" s="4">
        <v>45680</v>
      </c>
      <c r="C906" s="1" t="s">
        <v>2</v>
      </c>
      <c r="D906" s="1" t="s">
        <v>45</v>
      </c>
      <c r="E906" s="1" t="s">
        <v>37</v>
      </c>
      <c r="F906" s="1" t="s">
        <v>42</v>
      </c>
      <c r="G906" s="1" t="s">
        <v>39</v>
      </c>
      <c r="H906" s="1">
        <v>1</v>
      </c>
      <c r="I906" s="1">
        <v>1</v>
      </c>
      <c r="J906" s="1">
        <v>1</v>
      </c>
      <c r="K906" s="1">
        <v>1</v>
      </c>
      <c r="L906" s="1">
        <v>341.38</v>
      </c>
      <c r="M906" s="1">
        <v>0</v>
      </c>
      <c r="N906" s="1">
        <f t="shared" si="14"/>
        <v>0</v>
      </c>
      <c r="O906" s="1">
        <v>0</v>
      </c>
      <c r="P906" s="1">
        <v>2</v>
      </c>
      <c r="Q906" s="1">
        <v>63.6</v>
      </c>
    </row>
    <row r="907" spans="1:17">
      <c r="A907" s="1" t="s">
        <v>949</v>
      </c>
      <c r="B907" s="4">
        <v>45712</v>
      </c>
      <c r="C907" s="1" t="s">
        <v>2</v>
      </c>
      <c r="D907" s="1" t="s">
        <v>41</v>
      </c>
      <c r="E907" s="1" t="s">
        <v>37</v>
      </c>
      <c r="F907" s="1" t="s">
        <v>54</v>
      </c>
      <c r="G907" s="1" t="s">
        <v>39</v>
      </c>
      <c r="H907" s="1">
        <v>1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f t="shared" si="14"/>
        <v>0</v>
      </c>
      <c r="O907" s="1">
        <v>0</v>
      </c>
      <c r="P907" s="1"/>
      <c r="Q907" s="1">
        <v>58.2</v>
      </c>
    </row>
    <row r="908" spans="1:17">
      <c r="A908" s="1" t="s">
        <v>950</v>
      </c>
      <c r="B908" s="4">
        <v>45716</v>
      </c>
      <c r="C908" s="1" t="s">
        <v>2</v>
      </c>
      <c r="D908" s="1" t="s">
        <v>36</v>
      </c>
      <c r="E908" s="1" t="s">
        <v>37</v>
      </c>
      <c r="F908" s="1" t="s">
        <v>42</v>
      </c>
      <c r="G908" s="1" t="s">
        <v>39</v>
      </c>
      <c r="H908" s="1">
        <v>1</v>
      </c>
      <c r="I908" s="1">
        <v>1</v>
      </c>
      <c r="J908" s="1">
        <v>0</v>
      </c>
      <c r="K908" s="1">
        <v>0</v>
      </c>
      <c r="L908" s="1">
        <v>0</v>
      </c>
      <c r="M908" s="1">
        <v>0</v>
      </c>
      <c r="N908" s="1">
        <f t="shared" si="14"/>
        <v>0</v>
      </c>
      <c r="O908" s="1">
        <v>0</v>
      </c>
      <c r="P908" s="1"/>
      <c r="Q908" s="1">
        <v>54.6</v>
      </c>
    </row>
    <row r="909" spans="1:17">
      <c r="A909" s="1" t="s">
        <v>951</v>
      </c>
      <c r="B909" s="4">
        <v>45664</v>
      </c>
      <c r="C909" s="1" t="s">
        <v>2</v>
      </c>
      <c r="D909" s="1" t="s">
        <v>36</v>
      </c>
      <c r="E909" s="1" t="s">
        <v>47</v>
      </c>
      <c r="F909" s="1" t="s">
        <v>38</v>
      </c>
      <c r="G909" s="1" t="s">
        <v>34</v>
      </c>
      <c r="H909" s="1">
        <v>1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f t="shared" si="14"/>
        <v>0</v>
      </c>
      <c r="O909" s="1">
        <v>0</v>
      </c>
      <c r="P909" s="1"/>
      <c r="Q909" s="1">
        <v>81.900000000000006</v>
      </c>
    </row>
    <row r="910" spans="1:17">
      <c r="A910" s="1" t="s">
        <v>952</v>
      </c>
      <c r="B910" s="4">
        <v>45737</v>
      </c>
      <c r="C910" s="1" t="s">
        <v>2</v>
      </c>
      <c r="D910" s="1" t="s">
        <v>36</v>
      </c>
      <c r="E910" s="1" t="s">
        <v>32</v>
      </c>
      <c r="F910" s="1" t="s">
        <v>33</v>
      </c>
      <c r="G910" s="1" t="s">
        <v>39</v>
      </c>
      <c r="H910" s="1">
        <v>1</v>
      </c>
      <c r="I910" s="1">
        <v>0</v>
      </c>
      <c r="J910" s="1">
        <v>0</v>
      </c>
      <c r="K910" s="1">
        <v>0</v>
      </c>
      <c r="L910" s="1">
        <v>0</v>
      </c>
      <c r="M910" s="1">
        <v>3</v>
      </c>
      <c r="N910" s="1">
        <f t="shared" si="14"/>
        <v>1</v>
      </c>
      <c r="O910" s="1">
        <v>0</v>
      </c>
      <c r="P910" s="1"/>
      <c r="Q910" s="1">
        <v>53.3</v>
      </c>
    </row>
    <row r="911" spans="1:17">
      <c r="A911" s="1" t="s">
        <v>953</v>
      </c>
      <c r="B911" s="4">
        <v>45706</v>
      </c>
      <c r="C911" s="1" t="s">
        <v>2</v>
      </c>
      <c r="D911" s="1" t="s">
        <v>31</v>
      </c>
      <c r="E911" s="1" t="s">
        <v>32</v>
      </c>
      <c r="F911" s="1" t="s">
        <v>38</v>
      </c>
      <c r="G911" s="1" t="s">
        <v>34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f t="shared" si="14"/>
        <v>0</v>
      </c>
      <c r="O911" s="1">
        <v>0</v>
      </c>
      <c r="P911" s="1"/>
      <c r="Q911" s="1">
        <v>54.2</v>
      </c>
    </row>
    <row r="912" spans="1:17">
      <c r="A912" s="1" t="s">
        <v>954</v>
      </c>
      <c r="B912" s="4">
        <v>45662</v>
      </c>
      <c r="C912" s="1" t="s">
        <v>2</v>
      </c>
      <c r="D912" s="1" t="s">
        <v>31</v>
      </c>
      <c r="E912" s="1" t="s">
        <v>37</v>
      </c>
      <c r="F912" s="1" t="s">
        <v>42</v>
      </c>
      <c r="G912" s="1" t="s">
        <v>39</v>
      </c>
      <c r="H912" s="1">
        <v>1</v>
      </c>
      <c r="I912" s="1">
        <v>1</v>
      </c>
      <c r="J912" s="1">
        <v>0</v>
      </c>
      <c r="K912" s="1">
        <v>0</v>
      </c>
      <c r="L912" s="1">
        <v>0</v>
      </c>
      <c r="M912" s="1">
        <v>0</v>
      </c>
      <c r="N912" s="1">
        <f t="shared" si="14"/>
        <v>0</v>
      </c>
      <c r="O912" s="1">
        <v>0</v>
      </c>
      <c r="P912" s="1"/>
      <c r="Q912" s="1">
        <v>65.599999999999994</v>
      </c>
    </row>
    <row r="913" spans="1:17">
      <c r="A913" s="1" t="s">
        <v>955</v>
      </c>
      <c r="B913" s="4">
        <v>45727</v>
      </c>
      <c r="C913" s="1" t="s">
        <v>2</v>
      </c>
      <c r="D913" s="1" t="s">
        <v>41</v>
      </c>
      <c r="E913" s="1" t="s">
        <v>32</v>
      </c>
      <c r="F913" s="1" t="s">
        <v>38</v>
      </c>
      <c r="G913" s="1" t="s">
        <v>34</v>
      </c>
      <c r="H913" s="1">
        <v>1</v>
      </c>
      <c r="I913" s="1">
        <v>0</v>
      </c>
      <c r="J913" s="1">
        <v>0</v>
      </c>
      <c r="K913" s="1">
        <v>0</v>
      </c>
      <c r="L913" s="1">
        <v>0</v>
      </c>
      <c r="M913" s="1">
        <v>1</v>
      </c>
      <c r="N913" s="1">
        <f t="shared" si="14"/>
        <v>1</v>
      </c>
      <c r="O913" s="1">
        <v>0</v>
      </c>
      <c r="P913" s="1"/>
      <c r="Q913" s="1">
        <v>56.5</v>
      </c>
    </row>
    <row r="914" spans="1:17">
      <c r="A914" s="1" t="s">
        <v>956</v>
      </c>
      <c r="B914" s="4">
        <v>45666</v>
      </c>
      <c r="C914" s="1" t="s">
        <v>2</v>
      </c>
      <c r="D914" s="1" t="s">
        <v>31</v>
      </c>
      <c r="E914" s="1" t="s">
        <v>32</v>
      </c>
      <c r="F914" s="1" t="s">
        <v>38</v>
      </c>
      <c r="G914" s="1" t="s">
        <v>34</v>
      </c>
      <c r="H914" s="1">
        <v>1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f t="shared" si="14"/>
        <v>0</v>
      </c>
      <c r="O914" s="1">
        <v>0</v>
      </c>
      <c r="P914" s="1"/>
      <c r="Q914" s="1">
        <v>59.7</v>
      </c>
    </row>
    <row r="915" spans="1:17">
      <c r="A915" s="1" t="s">
        <v>957</v>
      </c>
      <c r="B915" s="4">
        <v>45665</v>
      </c>
      <c r="C915" s="1" t="s">
        <v>2</v>
      </c>
      <c r="D915" s="1" t="s">
        <v>45</v>
      </c>
      <c r="E915" s="1" t="s">
        <v>37</v>
      </c>
      <c r="F915" s="1" t="s">
        <v>38</v>
      </c>
      <c r="G915" s="1" t="s">
        <v>39</v>
      </c>
      <c r="H915" s="1">
        <v>1</v>
      </c>
      <c r="I915" s="1">
        <v>1</v>
      </c>
      <c r="J915" s="1">
        <v>1</v>
      </c>
      <c r="K915" s="1">
        <v>0</v>
      </c>
      <c r="L915" s="1">
        <v>0</v>
      </c>
      <c r="M915" s="1">
        <v>0</v>
      </c>
      <c r="N915" s="1">
        <f t="shared" si="14"/>
        <v>0</v>
      </c>
      <c r="O915" s="1">
        <v>0</v>
      </c>
      <c r="P915" s="1"/>
      <c r="Q915" s="1">
        <v>72.5</v>
      </c>
    </row>
    <row r="916" spans="1:17">
      <c r="A916" s="1" t="s">
        <v>958</v>
      </c>
      <c r="B916" s="4">
        <v>45778</v>
      </c>
      <c r="C916" s="1" t="s">
        <v>2</v>
      </c>
      <c r="D916" s="1" t="s">
        <v>41</v>
      </c>
      <c r="E916" s="1" t="s">
        <v>32</v>
      </c>
      <c r="F916" s="1" t="s">
        <v>42</v>
      </c>
      <c r="G916" s="1" t="s">
        <v>39</v>
      </c>
      <c r="H916" s="1">
        <v>1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f t="shared" si="14"/>
        <v>0</v>
      </c>
      <c r="O916" s="1">
        <v>0</v>
      </c>
      <c r="P916" s="1"/>
      <c r="Q916" s="1">
        <v>64.3</v>
      </c>
    </row>
    <row r="917" spans="1:17">
      <c r="A917" s="1" t="s">
        <v>959</v>
      </c>
      <c r="B917" s="4">
        <v>45719</v>
      </c>
      <c r="C917" s="1" t="s">
        <v>2</v>
      </c>
      <c r="D917" s="1" t="s">
        <v>45</v>
      </c>
      <c r="E917" s="1" t="s">
        <v>37</v>
      </c>
      <c r="F917" s="1" t="s">
        <v>54</v>
      </c>
      <c r="G917" s="1" t="s">
        <v>39</v>
      </c>
      <c r="H917" s="1">
        <v>1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f t="shared" si="14"/>
        <v>0</v>
      </c>
      <c r="O917" s="1">
        <v>0</v>
      </c>
      <c r="P917" s="1"/>
      <c r="Q917" s="1">
        <v>64.5</v>
      </c>
    </row>
    <row r="918" spans="1:17">
      <c r="A918" s="1" t="s">
        <v>584</v>
      </c>
      <c r="B918" s="4">
        <v>45691</v>
      </c>
      <c r="C918" s="1" t="s">
        <v>1</v>
      </c>
      <c r="D918" s="1" t="s">
        <v>31</v>
      </c>
      <c r="E918" s="1" t="s">
        <v>47</v>
      </c>
      <c r="F918" s="1" t="s">
        <v>33</v>
      </c>
      <c r="G918" s="1" t="s">
        <v>34</v>
      </c>
      <c r="H918" s="1">
        <v>1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f t="shared" si="14"/>
        <v>0</v>
      </c>
      <c r="O918" s="1">
        <v>0</v>
      </c>
      <c r="P918" s="1"/>
      <c r="Q918" s="1">
        <v>60.9</v>
      </c>
    </row>
    <row r="919" spans="1:17">
      <c r="A919" s="1" t="s">
        <v>960</v>
      </c>
      <c r="B919" s="4">
        <v>45705</v>
      </c>
      <c r="C919" s="1" t="s">
        <v>2</v>
      </c>
      <c r="D919" s="1" t="s">
        <v>45</v>
      </c>
      <c r="E919" s="1" t="s">
        <v>32</v>
      </c>
      <c r="F919" s="1" t="s">
        <v>38</v>
      </c>
      <c r="G919" s="1" t="s">
        <v>34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f t="shared" si="14"/>
        <v>0</v>
      </c>
      <c r="O919" s="1">
        <v>0</v>
      </c>
      <c r="P919" s="1"/>
      <c r="Q919" s="1">
        <v>58.4</v>
      </c>
    </row>
    <row r="920" spans="1:17">
      <c r="A920" s="1" t="s">
        <v>961</v>
      </c>
      <c r="B920" s="4">
        <v>45798</v>
      </c>
      <c r="C920" s="1" t="s">
        <v>2</v>
      </c>
      <c r="D920" s="1" t="s">
        <v>41</v>
      </c>
      <c r="E920" s="1" t="s">
        <v>37</v>
      </c>
      <c r="F920" s="1" t="s">
        <v>38</v>
      </c>
      <c r="G920" s="1" t="s">
        <v>34</v>
      </c>
      <c r="H920" s="1">
        <v>1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f t="shared" si="14"/>
        <v>0</v>
      </c>
      <c r="O920" s="1">
        <v>0</v>
      </c>
      <c r="P920" s="1"/>
      <c r="Q920" s="1">
        <v>56.6</v>
      </c>
    </row>
    <row r="921" spans="1:17">
      <c r="A921" s="1" t="s">
        <v>962</v>
      </c>
      <c r="B921" s="4">
        <v>45687</v>
      </c>
      <c r="C921" s="1" t="s">
        <v>2</v>
      </c>
      <c r="D921" s="1" t="s">
        <v>45</v>
      </c>
      <c r="E921" s="1" t="s">
        <v>37</v>
      </c>
      <c r="F921" s="1" t="s">
        <v>38</v>
      </c>
      <c r="G921" s="1" t="s">
        <v>39</v>
      </c>
      <c r="H921" s="1">
        <v>1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f t="shared" si="14"/>
        <v>0</v>
      </c>
      <c r="O921" s="1">
        <v>0</v>
      </c>
      <c r="P921" s="1"/>
      <c r="Q921" s="1">
        <v>61.8</v>
      </c>
    </row>
    <row r="922" spans="1:17">
      <c r="A922" s="1" t="s">
        <v>963</v>
      </c>
      <c r="B922" s="4">
        <v>45736</v>
      </c>
      <c r="C922" s="1" t="s">
        <v>2</v>
      </c>
      <c r="D922" s="1" t="s">
        <v>36</v>
      </c>
      <c r="E922" s="1" t="s">
        <v>37</v>
      </c>
      <c r="F922" s="1" t="s">
        <v>33</v>
      </c>
      <c r="G922" s="1" t="s">
        <v>39</v>
      </c>
      <c r="H922" s="1">
        <v>1</v>
      </c>
      <c r="I922" s="1">
        <v>1</v>
      </c>
      <c r="J922" s="1">
        <v>1</v>
      </c>
      <c r="K922" s="1">
        <v>1</v>
      </c>
      <c r="L922" s="1">
        <v>513.52</v>
      </c>
      <c r="M922" s="1">
        <v>0</v>
      </c>
      <c r="N922" s="1">
        <f t="shared" si="14"/>
        <v>0</v>
      </c>
      <c r="O922" s="1">
        <v>0</v>
      </c>
      <c r="P922" s="1">
        <v>8</v>
      </c>
      <c r="Q922" s="1">
        <v>43.4</v>
      </c>
    </row>
    <row r="923" spans="1:17">
      <c r="A923" s="1" t="s">
        <v>964</v>
      </c>
      <c r="B923" s="4">
        <v>45757</v>
      </c>
      <c r="C923" s="1" t="s">
        <v>2</v>
      </c>
      <c r="D923" s="1" t="s">
        <v>36</v>
      </c>
      <c r="E923" s="1" t="s">
        <v>47</v>
      </c>
      <c r="F923" s="1" t="s">
        <v>42</v>
      </c>
      <c r="G923" s="1" t="s">
        <v>39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f t="shared" si="14"/>
        <v>0</v>
      </c>
      <c r="O923" s="1">
        <v>0</v>
      </c>
      <c r="P923" s="1"/>
      <c r="Q923" s="1">
        <v>43</v>
      </c>
    </row>
    <row r="924" spans="1:17">
      <c r="A924" s="1" t="s">
        <v>965</v>
      </c>
      <c r="B924" s="4">
        <v>45723</v>
      </c>
      <c r="C924" s="1" t="s">
        <v>2</v>
      </c>
      <c r="D924" s="1" t="s">
        <v>31</v>
      </c>
      <c r="E924" s="1" t="s">
        <v>32</v>
      </c>
      <c r="F924" s="1" t="s">
        <v>38</v>
      </c>
      <c r="G924" s="1" t="s">
        <v>39</v>
      </c>
      <c r="H924" s="1">
        <v>1</v>
      </c>
      <c r="I924" s="1">
        <v>1</v>
      </c>
      <c r="J924" s="1">
        <v>1</v>
      </c>
      <c r="K924" s="1">
        <v>0</v>
      </c>
      <c r="L924" s="1">
        <v>0</v>
      </c>
      <c r="M924" s="1">
        <v>0</v>
      </c>
      <c r="N924" s="1">
        <f t="shared" si="14"/>
        <v>0</v>
      </c>
      <c r="O924" s="1">
        <v>0</v>
      </c>
      <c r="P924" s="1"/>
      <c r="Q924" s="1">
        <v>51.1</v>
      </c>
    </row>
    <row r="925" spans="1:17">
      <c r="A925" s="1" t="s">
        <v>966</v>
      </c>
      <c r="B925" s="4">
        <v>45728</v>
      </c>
      <c r="C925" s="1" t="s">
        <v>2</v>
      </c>
      <c r="D925" s="1" t="s">
        <v>36</v>
      </c>
      <c r="E925" s="1" t="s">
        <v>37</v>
      </c>
      <c r="F925" s="1" t="s">
        <v>33</v>
      </c>
      <c r="G925" s="1" t="s">
        <v>34</v>
      </c>
      <c r="H925" s="1">
        <v>1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f t="shared" si="14"/>
        <v>0</v>
      </c>
      <c r="O925" s="1">
        <v>0</v>
      </c>
      <c r="P925" s="1"/>
      <c r="Q925" s="1">
        <v>48.8</v>
      </c>
    </row>
    <row r="926" spans="1:17">
      <c r="A926" s="1" t="s">
        <v>967</v>
      </c>
      <c r="B926" s="4">
        <v>45712</v>
      </c>
      <c r="C926" s="1" t="s">
        <v>2</v>
      </c>
      <c r="D926" s="1" t="s">
        <v>41</v>
      </c>
      <c r="E926" s="1" t="s">
        <v>37</v>
      </c>
      <c r="F926" s="1" t="s">
        <v>52</v>
      </c>
      <c r="G926" s="1" t="s">
        <v>39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f t="shared" si="14"/>
        <v>0</v>
      </c>
      <c r="O926" s="1">
        <v>0</v>
      </c>
      <c r="P926" s="1"/>
      <c r="Q926" s="1">
        <v>73.2</v>
      </c>
    </row>
    <row r="927" spans="1:17">
      <c r="A927" s="1" t="s">
        <v>968</v>
      </c>
      <c r="B927" s="4">
        <v>45672</v>
      </c>
      <c r="C927" s="1" t="s">
        <v>2</v>
      </c>
      <c r="D927" s="1" t="s">
        <v>41</v>
      </c>
      <c r="E927" s="1" t="s">
        <v>37</v>
      </c>
      <c r="F927" s="1" t="s">
        <v>52</v>
      </c>
      <c r="G927" s="1" t="s">
        <v>39</v>
      </c>
      <c r="H927" s="1">
        <v>1</v>
      </c>
      <c r="I927" s="1">
        <v>1</v>
      </c>
      <c r="J927" s="1">
        <v>1</v>
      </c>
      <c r="K927" s="1">
        <v>0</v>
      </c>
      <c r="L927" s="1">
        <v>0</v>
      </c>
      <c r="M927" s="1">
        <v>0</v>
      </c>
      <c r="N927" s="1">
        <f t="shared" si="14"/>
        <v>0</v>
      </c>
      <c r="O927" s="1">
        <v>0</v>
      </c>
      <c r="P927" s="1"/>
      <c r="Q927" s="1">
        <v>80</v>
      </c>
    </row>
    <row r="928" spans="1:17">
      <c r="A928" s="1" t="s">
        <v>969</v>
      </c>
      <c r="B928" s="4">
        <v>45664</v>
      </c>
      <c r="C928" s="1" t="s">
        <v>2</v>
      </c>
      <c r="D928" s="1" t="s">
        <v>31</v>
      </c>
      <c r="E928" s="1" t="s">
        <v>32</v>
      </c>
      <c r="F928" s="1" t="s">
        <v>42</v>
      </c>
      <c r="G928" s="1" t="s">
        <v>39</v>
      </c>
      <c r="H928" s="1">
        <v>1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f t="shared" si="14"/>
        <v>0</v>
      </c>
      <c r="O928" s="1">
        <v>0</v>
      </c>
      <c r="P928" s="1"/>
      <c r="Q928" s="1">
        <v>52.3</v>
      </c>
    </row>
    <row r="929" spans="1:17">
      <c r="A929" s="1" t="s">
        <v>970</v>
      </c>
      <c r="B929" s="4">
        <v>45718</v>
      </c>
      <c r="C929" s="1" t="s">
        <v>2</v>
      </c>
      <c r="D929" s="1" t="s">
        <v>31</v>
      </c>
      <c r="E929" s="1" t="s">
        <v>32</v>
      </c>
      <c r="F929" s="1" t="s">
        <v>38</v>
      </c>
      <c r="G929" s="1" t="s">
        <v>39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f t="shared" si="14"/>
        <v>0</v>
      </c>
      <c r="O929" s="1">
        <v>0</v>
      </c>
      <c r="P929" s="1"/>
      <c r="Q929" s="1">
        <v>49.1</v>
      </c>
    </row>
    <row r="930" spans="1:17">
      <c r="A930" s="1" t="s">
        <v>971</v>
      </c>
      <c r="B930" s="4">
        <v>45662</v>
      </c>
      <c r="C930" s="1" t="s">
        <v>2</v>
      </c>
      <c r="D930" s="1" t="s">
        <v>45</v>
      </c>
      <c r="E930" s="1" t="s">
        <v>32</v>
      </c>
      <c r="F930" s="1" t="s">
        <v>52</v>
      </c>
      <c r="G930" s="1" t="s">
        <v>34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f t="shared" si="14"/>
        <v>0</v>
      </c>
      <c r="O930" s="1">
        <v>0</v>
      </c>
      <c r="P930" s="1"/>
      <c r="Q930" s="1">
        <v>45.3</v>
      </c>
    </row>
    <row r="931" spans="1:17">
      <c r="A931" s="1" t="s">
        <v>972</v>
      </c>
      <c r="B931" s="4">
        <v>45719</v>
      </c>
      <c r="C931" s="1" t="s">
        <v>2</v>
      </c>
      <c r="D931" s="1" t="s">
        <v>45</v>
      </c>
      <c r="E931" s="1" t="s">
        <v>37</v>
      </c>
      <c r="F931" s="1" t="s">
        <v>38</v>
      </c>
      <c r="G931" s="1" t="s">
        <v>39</v>
      </c>
      <c r="H931" s="1">
        <v>1</v>
      </c>
      <c r="I931" s="1">
        <v>1</v>
      </c>
      <c r="J931" s="1">
        <v>0</v>
      </c>
      <c r="K931" s="1">
        <v>0</v>
      </c>
      <c r="L931" s="1">
        <v>0</v>
      </c>
      <c r="M931" s="1">
        <v>0</v>
      </c>
      <c r="N931" s="1">
        <f t="shared" si="14"/>
        <v>0</v>
      </c>
      <c r="O931" s="1">
        <v>0</v>
      </c>
      <c r="P931" s="1"/>
      <c r="Q931" s="1">
        <v>49.1</v>
      </c>
    </row>
    <row r="932" spans="1:17">
      <c r="A932" s="1" t="s">
        <v>973</v>
      </c>
      <c r="B932" s="4">
        <v>45747</v>
      </c>
      <c r="C932" s="1" t="s">
        <v>2</v>
      </c>
      <c r="D932" s="1" t="s">
        <v>41</v>
      </c>
      <c r="E932" s="1" t="s">
        <v>32</v>
      </c>
      <c r="F932" s="1" t="s">
        <v>52</v>
      </c>
      <c r="G932" s="1" t="s">
        <v>39</v>
      </c>
      <c r="H932" s="1">
        <v>1</v>
      </c>
      <c r="I932" s="1">
        <v>1</v>
      </c>
      <c r="J932" s="1">
        <v>1</v>
      </c>
      <c r="K932" s="1">
        <v>1</v>
      </c>
      <c r="L932" s="1">
        <v>476.44</v>
      </c>
      <c r="M932" s="1">
        <v>0</v>
      </c>
      <c r="N932" s="1">
        <f t="shared" si="14"/>
        <v>0</v>
      </c>
      <c r="O932" s="1">
        <v>0</v>
      </c>
      <c r="P932" s="1">
        <v>3</v>
      </c>
      <c r="Q932" s="1">
        <v>88.6</v>
      </c>
    </row>
    <row r="933" spans="1:17">
      <c r="A933" s="1" t="s">
        <v>974</v>
      </c>
      <c r="B933" s="4">
        <v>45671</v>
      </c>
      <c r="C933" s="1" t="s">
        <v>2</v>
      </c>
      <c r="D933" s="1" t="s">
        <v>41</v>
      </c>
      <c r="E933" s="1" t="s">
        <v>32</v>
      </c>
      <c r="F933" s="1" t="s">
        <v>42</v>
      </c>
      <c r="G933" s="1" t="s">
        <v>43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1</v>
      </c>
      <c r="N933" s="1">
        <f t="shared" si="14"/>
        <v>1</v>
      </c>
      <c r="O933" s="1">
        <v>0</v>
      </c>
      <c r="P933" s="1"/>
      <c r="Q933" s="1">
        <v>54.4</v>
      </c>
    </row>
    <row r="934" spans="1:17">
      <c r="A934" s="1" t="s">
        <v>975</v>
      </c>
      <c r="B934" s="4">
        <v>45672</v>
      </c>
      <c r="C934" s="1" t="s">
        <v>2</v>
      </c>
      <c r="D934" s="1" t="s">
        <v>36</v>
      </c>
      <c r="E934" s="1" t="s">
        <v>32</v>
      </c>
      <c r="F934" s="1" t="s">
        <v>42</v>
      </c>
      <c r="G934" s="1" t="s">
        <v>43</v>
      </c>
      <c r="H934" s="1">
        <v>1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f t="shared" si="14"/>
        <v>0</v>
      </c>
      <c r="O934" s="1">
        <v>0</v>
      </c>
      <c r="P934" s="1"/>
      <c r="Q934" s="1">
        <v>72.900000000000006</v>
      </c>
    </row>
    <row r="935" spans="1:17">
      <c r="A935" s="1" t="s">
        <v>976</v>
      </c>
      <c r="B935" s="4">
        <v>45772</v>
      </c>
      <c r="C935" s="1" t="s">
        <v>2</v>
      </c>
      <c r="D935" s="1" t="s">
        <v>36</v>
      </c>
      <c r="E935" s="1" t="s">
        <v>32</v>
      </c>
      <c r="F935" s="1" t="s">
        <v>38</v>
      </c>
      <c r="G935" s="1" t="s">
        <v>39</v>
      </c>
      <c r="H935" s="1">
        <v>1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f t="shared" si="14"/>
        <v>0</v>
      </c>
      <c r="O935" s="1">
        <v>0</v>
      </c>
      <c r="P935" s="1"/>
      <c r="Q935" s="1">
        <v>53.2</v>
      </c>
    </row>
    <row r="936" spans="1:17">
      <c r="A936" s="1" t="s">
        <v>977</v>
      </c>
      <c r="B936" s="4">
        <v>45737</v>
      </c>
      <c r="C936" s="1" t="s">
        <v>2</v>
      </c>
      <c r="D936" s="1" t="s">
        <v>41</v>
      </c>
      <c r="E936" s="1" t="s">
        <v>37</v>
      </c>
      <c r="F936" s="1" t="s">
        <v>38</v>
      </c>
      <c r="G936" s="1" t="s">
        <v>34</v>
      </c>
      <c r="H936" s="1">
        <v>1</v>
      </c>
      <c r="I936" s="1">
        <v>1</v>
      </c>
      <c r="J936" s="1">
        <v>0</v>
      </c>
      <c r="K936" s="1">
        <v>0</v>
      </c>
      <c r="L936" s="1">
        <v>0</v>
      </c>
      <c r="M936" s="1">
        <v>0</v>
      </c>
      <c r="N936" s="1">
        <f t="shared" si="14"/>
        <v>0</v>
      </c>
      <c r="O936" s="1">
        <v>0</v>
      </c>
      <c r="P936" s="1"/>
      <c r="Q936" s="1">
        <v>48.7</v>
      </c>
    </row>
    <row r="937" spans="1:17">
      <c r="A937" s="1" t="s">
        <v>978</v>
      </c>
      <c r="B937" s="4">
        <v>45773</v>
      </c>
      <c r="C937" s="1" t="s">
        <v>2</v>
      </c>
      <c r="D937" s="1" t="s">
        <v>45</v>
      </c>
      <c r="E937" s="1" t="s">
        <v>37</v>
      </c>
      <c r="F937" s="1" t="s">
        <v>42</v>
      </c>
      <c r="G937" s="1" t="s">
        <v>34</v>
      </c>
      <c r="H937" s="1">
        <v>1</v>
      </c>
      <c r="I937" s="1">
        <v>1</v>
      </c>
      <c r="J937" s="1">
        <v>1</v>
      </c>
      <c r="K937" s="1">
        <v>0</v>
      </c>
      <c r="L937" s="1">
        <v>0</v>
      </c>
      <c r="M937" s="1">
        <v>0</v>
      </c>
      <c r="N937" s="1">
        <f t="shared" si="14"/>
        <v>0</v>
      </c>
      <c r="O937" s="1">
        <v>0</v>
      </c>
      <c r="P937" s="1"/>
      <c r="Q937" s="1">
        <v>59.9</v>
      </c>
    </row>
    <row r="938" spans="1:17">
      <c r="A938" s="1" t="s">
        <v>979</v>
      </c>
      <c r="B938" s="4">
        <v>45798</v>
      </c>
      <c r="C938" s="1" t="s">
        <v>2</v>
      </c>
      <c r="D938" s="1" t="s">
        <v>45</v>
      </c>
      <c r="E938" s="1" t="s">
        <v>32</v>
      </c>
      <c r="F938" s="1"/>
      <c r="G938" s="1" t="s">
        <v>34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f t="shared" si="14"/>
        <v>0</v>
      </c>
      <c r="O938" s="1">
        <v>0</v>
      </c>
      <c r="P938" s="1"/>
      <c r="Q938" s="1">
        <v>82</v>
      </c>
    </row>
    <row r="939" spans="1:17">
      <c r="A939" s="1" t="s">
        <v>980</v>
      </c>
      <c r="B939" s="4">
        <v>45765</v>
      </c>
      <c r="C939" s="1" t="s">
        <v>2</v>
      </c>
      <c r="D939" s="1" t="s">
        <v>41</v>
      </c>
      <c r="E939" s="1" t="s">
        <v>37</v>
      </c>
      <c r="F939" s="1" t="s">
        <v>42</v>
      </c>
      <c r="G939" s="1" t="s">
        <v>39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f t="shared" si="14"/>
        <v>0</v>
      </c>
      <c r="O939" s="1">
        <v>0</v>
      </c>
      <c r="P939" s="1"/>
      <c r="Q939" s="1">
        <v>72.099999999999994</v>
      </c>
    </row>
    <row r="940" spans="1:17">
      <c r="A940" s="1" t="s">
        <v>981</v>
      </c>
      <c r="B940" s="4">
        <v>45686</v>
      </c>
      <c r="C940" s="1" t="s">
        <v>2</v>
      </c>
      <c r="D940" s="1" t="s">
        <v>31</v>
      </c>
      <c r="E940" s="1" t="s">
        <v>32</v>
      </c>
      <c r="F940" s="1" t="s">
        <v>33</v>
      </c>
      <c r="G940" s="1" t="s">
        <v>43</v>
      </c>
      <c r="H940" s="1">
        <v>1</v>
      </c>
      <c r="I940" s="1">
        <v>1</v>
      </c>
      <c r="J940" s="1">
        <v>0</v>
      </c>
      <c r="K940" s="1">
        <v>0</v>
      </c>
      <c r="L940" s="1">
        <v>0</v>
      </c>
      <c r="M940" s="1">
        <v>0</v>
      </c>
      <c r="N940" s="1">
        <f t="shared" si="14"/>
        <v>0</v>
      </c>
      <c r="O940" s="1">
        <v>0</v>
      </c>
      <c r="P940" s="1"/>
      <c r="Q940" s="1">
        <v>68.3</v>
      </c>
    </row>
    <row r="941" spans="1:17">
      <c r="A941" s="1" t="s">
        <v>982</v>
      </c>
      <c r="B941" s="4">
        <v>45805</v>
      </c>
      <c r="C941" s="1" t="s">
        <v>2</v>
      </c>
      <c r="D941" s="1" t="s">
        <v>36</v>
      </c>
      <c r="E941" s="1" t="s">
        <v>37</v>
      </c>
      <c r="F941" s="1" t="s">
        <v>38</v>
      </c>
      <c r="G941" s="1" t="s">
        <v>43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f t="shared" si="14"/>
        <v>0</v>
      </c>
      <c r="O941" s="1">
        <v>0</v>
      </c>
      <c r="P941" s="1"/>
      <c r="Q941" s="1">
        <v>100</v>
      </c>
    </row>
    <row r="942" spans="1:17">
      <c r="A942" s="1" t="s">
        <v>983</v>
      </c>
      <c r="B942" s="4">
        <v>45672</v>
      </c>
      <c r="C942" s="1" t="s">
        <v>2</v>
      </c>
      <c r="D942" s="1" t="s">
        <v>41</v>
      </c>
      <c r="E942" s="1" t="s">
        <v>37</v>
      </c>
      <c r="F942" s="1" t="s">
        <v>33</v>
      </c>
      <c r="G942" s="1" t="s">
        <v>39</v>
      </c>
      <c r="H942" s="1">
        <v>1</v>
      </c>
      <c r="I942" s="1">
        <v>1</v>
      </c>
      <c r="J942" s="1">
        <v>1</v>
      </c>
      <c r="K942" s="1">
        <v>0</v>
      </c>
      <c r="L942" s="1">
        <v>0</v>
      </c>
      <c r="M942" s="1">
        <v>2</v>
      </c>
      <c r="N942" s="1">
        <f t="shared" si="14"/>
        <v>1</v>
      </c>
      <c r="O942" s="1">
        <v>0</v>
      </c>
      <c r="P942" s="1"/>
      <c r="Q942" s="1">
        <v>76.5</v>
      </c>
    </row>
    <row r="943" spans="1:17">
      <c r="A943" s="1" t="s">
        <v>984</v>
      </c>
      <c r="B943" s="4">
        <v>45660</v>
      </c>
      <c r="C943" s="1" t="s">
        <v>2</v>
      </c>
      <c r="D943" s="1" t="s">
        <v>45</v>
      </c>
      <c r="E943" s="1" t="s">
        <v>37</v>
      </c>
      <c r="F943" s="1" t="s">
        <v>38</v>
      </c>
      <c r="G943" s="1" t="s">
        <v>34</v>
      </c>
      <c r="H943" s="1">
        <v>1</v>
      </c>
      <c r="I943" s="1">
        <v>1</v>
      </c>
      <c r="J943" s="1">
        <v>0</v>
      </c>
      <c r="K943" s="1">
        <v>0</v>
      </c>
      <c r="L943" s="1">
        <v>0</v>
      </c>
      <c r="M943" s="1">
        <v>0</v>
      </c>
      <c r="N943" s="1">
        <f t="shared" si="14"/>
        <v>0</v>
      </c>
      <c r="O943" s="1">
        <v>0</v>
      </c>
      <c r="P943" s="1"/>
      <c r="Q943" s="1">
        <v>62</v>
      </c>
    </row>
    <row r="944" spans="1:17">
      <c r="A944" s="1" t="s">
        <v>985</v>
      </c>
      <c r="B944" s="4">
        <v>45692</v>
      </c>
      <c r="C944" s="1" t="s">
        <v>2</v>
      </c>
      <c r="D944" s="1" t="s">
        <v>45</v>
      </c>
      <c r="E944" s="1" t="s">
        <v>37</v>
      </c>
      <c r="F944" s="1" t="s">
        <v>42</v>
      </c>
      <c r="G944" s="1" t="s">
        <v>39</v>
      </c>
      <c r="H944" s="1">
        <v>1</v>
      </c>
      <c r="I944" s="1">
        <v>1</v>
      </c>
      <c r="J944" s="1">
        <v>1</v>
      </c>
      <c r="K944" s="1">
        <v>1</v>
      </c>
      <c r="L944" s="1">
        <v>324.68</v>
      </c>
      <c r="M944" s="1">
        <v>1</v>
      </c>
      <c r="N944" s="1">
        <f t="shared" si="14"/>
        <v>1</v>
      </c>
      <c r="O944" s="1">
        <v>0</v>
      </c>
      <c r="P944" s="1">
        <v>7</v>
      </c>
      <c r="Q944" s="1">
        <v>50.1</v>
      </c>
    </row>
    <row r="945" spans="1:17">
      <c r="A945" s="1" t="s">
        <v>986</v>
      </c>
      <c r="B945" s="4">
        <v>45710</v>
      </c>
      <c r="C945" s="1" t="s">
        <v>2</v>
      </c>
      <c r="D945" s="1" t="s">
        <v>45</v>
      </c>
      <c r="E945" s="1" t="s">
        <v>37</v>
      </c>
      <c r="F945" s="1" t="s">
        <v>52</v>
      </c>
      <c r="G945" s="1" t="s">
        <v>43</v>
      </c>
      <c r="H945" s="1">
        <v>1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f t="shared" si="14"/>
        <v>0</v>
      </c>
      <c r="O945" s="1">
        <v>0</v>
      </c>
      <c r="P945" s="1"/>
      <c r="Q945" s="1">
        <v>62.1</v>
      </c>
    </row>
    <row r="946" spans="1:17">
      <c r="A946" s="1" t="s">
        <v>987</v>
      </c>
      <c r="B946" s="4">
        <v>45783</v>
      </c>
      <c r="C946" s="1" t="s">
        <v>2</v>
      </c>
      <c r="D946" s="1" t="s">
        <v>36</v>
      </c>
      <c r="E946" s="1" t="s">
        <v>37</v>
      </c>
      <c r="F946" s="1" t="s">
        <v>38</v>
      </c>
      <c r="G946" s="1" t="s">
        <v>34</v>
      </c>
      <c r="H946" s="1">
        <v>1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f t="shared" si="14"/>
        <v>0</v>
      </c>
      <c r="O946" s="1">
        <v>0</v>
      </c>
      <c r="P946" s="1"/>
      <c r="Q946" s="1">
        <v>49.7</v>
      </c>
    </row>
    <row r="947" spans="1:17">
      <c r="A947" s="1" t="s">
        <v>988</v>
      </c>
      <c r="B947" s="4">
        <v>45688</v>
      </c>
      <c r="C947" s="1" t="s">
        <v>2</v>
      </c>
      <c r="D947" s="1" t="s">
        <v>45</v>
      </c>
      <c r="E947" s="1" t="s">
        <v>37</v>
      </c>
      <c r="F947" s="1" t="s">
        <v>38</v>
      </c>
      <c r="G947" s="1" t="s">
        <v>39</v>
      </c>
      <c r="H947" s="1">
        <v>1</v>
      </c>
      <c r="I947" s="1">
        <v>0</v>
      </c>
      <c r="J947" s="1">
        <v>0</v>
      </c>
      <c r="K947" s="1">
        <v>0</v>
      </c>
      <c r="L947" s="1">
        <v>0</v>
      </c>
      <c r="M947" s="1">
        <v>3</v>
      </c>
      <c r="N947" s="1">
        <f t="shared" si="14"/>
        <v>1</v>
      </c>
      <c r="O947" s="1">
        <v>0</v>
      </c>
      <c r="P947" s="1"/>
      <c r="Q947" s="1">
        <v>71.099999999999994</v>
      </c>
    </row>
    <row r="948" spans="1:17">
      <c r="A948" s="1" t="s">
        <v>989</v>
      </c>
      <c r="B948" s="4">
        <v>45706</v>
      </c>
      <c r="C948" s="1" t="s">
        <v>2</v>
      </c>
      <c r="D948" s="1" t="s">
        <v>31</v>
      </c>
      <c r="E948" s="1" t="s">
        <v>37</v>
      </c>
      <c r="F948" s="1" t="s">
        <v>54</v>
      </c>
      <c r="G948" s="1" t="s">
        <v>34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f t="shared" si="14"/>
        <v>0</v>
      </c>
      <c r="O948" s="1">
        <v>0</v>
      </c>
      <c r="P948" s="1"/>
      <c r="Q948" s="1">
        <v>70.8</v>
      </c>
    </row>
    <row r="949" spans="1:17">
      <c r="A949" s="1" t="s">
        <v>990</v>
      </c>
      <c r="B949" s="4">
        <v>45770</v>
      </c>
      <c r="C949" s="1" t="s">
        <v>2</v>
      </c>
      <c r="D949" s="1" t="s">
        <v>41</v>
      </c>
      <c r="E949" s="1" t="s">
        <v>37</v>
      </c>
      <c r="F949" s="1" t="s">
        <v>42</v>
      </c>
      <c r="G949" s="1" t="s">
        <v>39</v>
      </c>
      <c r="H949" s="1">
        <v>1</v>
      </c>
      <c r="I949" s="1">
        <v>1</v>
      </c>
      <c r="J949" s="1">
        <v>1</v>
      </c>
      <c r="K949" s="1">
        <v>1</v>
      </c>
      <c r="L949" s="1">
        <v>301.98</v>
      </c>
      <c r="M949" s="1">
        <v>0</v>
      </c>
      <c r="N949" s="1">
        <f t="shared" si="14"/>
        <v>0</v>
      </c>
      <c r="O949" s="1">
        <v>0</v>
      </c>
      <c r="P949" s="1">
        <v>10</v>
      </c>
      <c r="Q949" s="1">
        <v>52.2</v>
      </c>
    </row>
    <row r="950" spans="1:17">
      <c r="A950" s="1" t="s">
        <v>991</v>
      </c>
      <c r="B950" s="4">
        <v>45694</v>
      </c>
      <c r="C950" s="1" t="s">
        <v>2</v>
      </c>
      <c r="D950" s="1" t="s">
        <v>31</v>
      </c>
      <c r="E950" s="1" t="s">
        <v>37</v>
      </c>
      <c r="F950" s="1" t="s">
        <v>38</v>
      </c>
      <c r="G950" s="1" t="s">
        <v>39</v>
      </c>
      <c r="H950" s="1">
        <v>1</v>
      </c>
      <c r="I950" s="1">
        <v>1</v>
      </c>
      <c r="J950" s="1">
        <v>1</v>
      </c>
      <c r="K950" s="1">
        <v>0</v>
      </c>
      <c r="L950" s="1">
        <v>0</v>
      </c>
      <c r="M950" s="1">
        <v>0</v>
      </c>
      <c r="N950" s="1">
        <f t="shared" si="14"/>
        <v>0</v>
      </c>
      <c r="O950" s="1">
        <v>0</v>
      </c>
      <c r="P950" s="1"/>
      <c r="Q950" s="1">
        <v>73</v>
      </c>
    </row>
    <row r="951" spans="1:17">
      <c r="A951" s="1" t="s">
        <v>992</v>
      </c>
      <c r="B951" s="4">
        <v>45773</v>
      </c>
      <c r="C951" s="1" t="s">
        <v>2</v>
      </c>
      <c r="D951" s="1" t="s">
        <v>45</v>
      </c>
      <c r="E951" s="1" t="s">
        <v>32</v>
      </c>
      <c r="F951" s="1" t="s">
        <v>42</v>
      </c>
      <c r="G951" s="1" t="s">
        <v>39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f t="shared" si="14"/>
        <v>0</v>
      </c>
      <c r="O951" s="1">
        <v>0</v>
      </c>
      <c r="P951" s="1"/>
      <c r="Q951" s="1">
        <v>78.2</v>
      </c>
    </row>
    <row r="952" spans="1:17">
      <c r="A952" s="1" t="s">
        <v>993</v>
      </c>
      <c r="B952" s="4">
        <v>45746</v>
      </c>
      <c r="C952" s="1" t="s">
        <v>2</v>
      </c>
      <c r="D952" s="1" t="s">
        <v>36</v>
      </c>
      <c r="E952" s="1" t="s">
        <v>32</v>
      </c>
      <c r="F952" s="1" t="s">
        <v>42</v>
      </c>
      <c r="G952" s="1" t="s">
        <v>34</v>
      </c>
      <c r="H952" s="1">
        <v>1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f t="shared" si="14"/>
        <v>0</v>
      </c>
      <c r="O952" s="1">
        <v>0</v>
      </c>
      <c r="P952" s="1"/>
      <c r="Q952" s="1">
        <v>68.8</v>
      </c>
    </row>
    <row r="953" spans="1:17">
      <c r="A953" s="1" t="s">
        <v>994</v>
      </c>
      <c r="B953" s="4">
        <v>45760</v>
      </c>
      <c r="C953" s="1" t="s">
        <v>2</v>
      </c>
      <c r="D953" s="1" t="s">
        <v>36</v>
      </c>
      <c r="E953" s="1" t="s">
        <v>37</v>
      </c>
      <c r="F953" s="1"/>
      <c r="G953" s="1" t="s">
        <v>43</v>
      </c>
      <c r="H953" s="1">
        <v>1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f t="shared" si="14"/>
        <v>0</v>
      </c>
      <c r="O953" s="1">
        <v>0</v>
      </c>
      <c r="P953" s="1"/>
      <c r="Q953" s="1">
        <v>57.1</v>
      </c>
    </row>
    <row r="954" spans="1:17">
      <c r="A954" s="1" t="s">
        <v>995</v>
      </c>
      <c r="B954" s="4">
        <v>45751</v>
      </c>
      <c r="C954" s="1" t="s">
        <v>2</v>
      </c>
      <c r="D954" s="1" t="s">
        <v>41</v>
      </c>
      <c r="E954" s="1" t="s">
        <v>32</v>
      </c>
      <c r="F954" s="1" t="s">
        <v>38</v>
      </c>
      <c r="G954" s="1" t="s">
        <v>43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1</v>
      </c>
      <c r="N954" s="1">
        <f t="shared" si="14"/>
        <v>1</v>
      </c>
      <c r="O954" s="1">
        <v>0</v>
      </c>
      <c r="P954" s="1"/>
      <c r="Q954" s="1">
        <v>74.599999999999994</v>
      </c>
    </row>
    <row r="955" spans="1:17">
      <c r="A955" s="1" t="s">
        <v>996</v>
      </c>
      <c r="B955" s="4">
        <v>45750</v>
      </c>
      <c r="C955" s="1" t="s">
        <v>2</v>
      </c>
      <c r="D955" s="1" t="s">
        <v>31</v>
      </c>
      <c r="E955" s="1" t="s">
        <v>32</v>
      </c>
      <c r="F955" s="1" t="s">
        <v>52</v>
      </c>
      <c r="G955" s="1" t="s">
        <v>39</v>
      </c>
      <c r="H955" s="1">
        <v>1</v>
      </c>
      <c r="I955" s="1">
        <v>0</v>
      </c>
      <c r="J955" s="1">
        <v>0</v>
      </c>
      <c r="K955" s="1">
        <v>0</v>
      </c>
      <c r="L955" s="1">
        <v>0</v>
      </c>
      <c r="M955" s="1">
        <v>1</v>
      </c>
      <c r="N955" s="1">
        <f t="shared" si="14"/>
        <v>1</v>
      </c>
      <c r="O955" s="1">
        <v>0</v>
      </c>
      <c r="P955" s="1"/>
      <c r="Q955" s="1">
        <v>64.099999999999994</v>
      </c>
    </row>
    <row r="956" spans="1:17">
      <c r="A956" s="1" t="s">
        <v>997</v>
      </c>
      <c r="B956" s="4">
        <v>45730</v>
      </c>
      <c r="C956" s="1" t="s">
        <v>2</v>
      </c>
      <c r="D956" s="1" t="s">
        <v>36</v>
      </c>
      <c r="E956" s="1" t="s">
        <v>37</v>
      </c>
      <c r="F956" s="1" t="s">
        <v>42</v>
      </c>
      <c r="G956" s="1" t="s">
        <v>43</v>
      </c>
      <c r="H956" s="1">
        <v>1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f t="shared" si="14"/>
        <v>0</v>
      </c>
      <c r="O956" s="1">
        <v>0</v>
      </c>
      <c r="P956" s="1"/>
      <c r="Q956" s="1">
        <v>67.3</v>
      </c>
    </row>
    <row r="957" spans="1:17">
      <c r="A957" s="1" t="s">
        <v>998</v>
      </c>
      <c r="B957" s="4">
        <v>45671</v>
      </c>
      <c r="C957" s="1" t="s">
        <v>2</v>
      </c>
      <c r="D957" s="1" t="s">
        <v>36</v>
      </c>
      <c r="E957" s="1" t="s">
        <v>37</v>
      </c>
      <c r="F957" s="1" t="s">
        <v>52</v>
      </c>
      <c r="G957" s="1" t="s">
        <v>39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2</v>
      </c>
      <c r="N957" s="1">
        <f t="shared" si="14"/>
        <v>1</v>
      </c>
      <c r="O957" s="1">
        <v>0</v>
      </c>
      <c r="P957" s="1"/>
      <c r="Q957" s="1">
        <v>41</v>
      </c>
    </row>
    <row r="958" spans="1:17">
      <c r="A958" s="1" t="s">
        <v>999</v>
      </c>
      <c r="B958" s="4">
        <v>45782</v>
      </c>
      <c r="C958" s="1" t="s">
        <v>2</v>
      </c>
      <c r="D958" s="1" t="s">
        <v>36</v>
      </c>
      <c r="E958" s="1" t="s">
        <v>37</v>
      </c>
      <c r="F958" s="1" t="s">
        <v>42</v>
      </c>
      <c r="G958" s="1" t="s">
        <v>39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f t="shared" si="14"/>
        <v>0</v>
      </c>
      <c r="O958" s="1">
        <v>0</v>
      </c>
      <c r="P958" s="1"/>
      <c r="Q958" s="1">
        <v>48.1</v>
      </c>
    </row>
    <row r="959" spans="1:17">
      <c r="A959" s="1" t="s">
        <v>1000</v>
      </c>
      <c r="B959" s="4">
        <v>45779</v>
      </c>
      <c r="C959" s="1" t="s">
        <v>2</v>
      </c>
      <c r="D959" s="1" t="s">
        <v>36</v>
      </c>
      <c r="E959" s="1" t="s">
        <v>32</v>
      </c>
      <c r="F959" s="1" t="s">
        <v>54</v>
      </c>
      <c r="G959" s="1" t="s">
        <v>39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1</v>
      </c>
      <c r="N959" s="1">
        <f t="shared" si="14"/>
        <v>1</v>
      </c>
      <c r="O959" s="1">
        <v>0</v>
      </c>
      <c r="P959" s="1"/>
      <c r="Q959" s="1">
        <v>60.8</v>
      </c>
    </row>
    <row r="960" spans="1:17">
      <c r="A960" s="1" t="s">
        <v>1001</v>
      </c>
      <c r="B960" s="4">
        <v>45798</v>
      </c>
      <c r="C960" s="1" t="s">
        <v>2</v>
      </c>
      <c r="D960" s="1" t="s">
        <v>41</v>
      </c>
      <c r="E960" s="1" t="s">
        <v>37</v>
      </c>
      <c r="F960" s="1" t="s">
        <v>38</v>
      </c>
      <c r="G960" s="1" t="s">
        <v>39</v>
      </c>
      <c r="H960" s="1">
        <v>1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f t="shared" si="14"/>
        <v>0</v>
      </c>
      <c r="O960" s="1">
        <v>0</v>
      </c>
      <c r="P960" s="1"/>
      <c r="Q960" s="1">
        <v>63.1</v>
      </c>
    </row>
    <row r="961" spans="1:17">
      <c r="A961" s="1" t="s">
        <v>1002</v>
      </c>
      <c r="B961" s="4">
        <v>45793</v>
      </c>
      <c r="C961" s="1" t="s">
        <v>2</v>
      </c>
      <c r="D961" s="1" t="s">
        <v>31</v>
      </c>
      <c r="E961" s="1" t="s">
        <v>37</v>
      </c>
      <c r="F961" s="1" t="s">
        <v>52</v>
      </c>
      <c r="G961" s="1" t="s">
        <v>43</v>
      </c>
      <c r="H961" s="1">
        <v>1</v>
      </c>
      <c r="I961" s="1">
        <v>0</v>
      </c>
      <c r="J961" s="1">
        <v>0</v>
      </c>
      <c r="K961" s="1">
        <v>0</v>
      </c>
      <c r="L961" s="1">
        <v>0</v>
      </c>
      <c r="M961" s="1">
        <v>2</v>
      </c>
      <c r="N961" s="1">
        <f t="shared" si="14"/>
        <v>1</v>
      </c>
      <c r="O961" s="1">
        <v>0</v>
      </c>
      <c r="P961" s="1"/>
      <c r="Q961" s="1">
        <v>49.7</v>
      </c>
    </row>
    <row r="962" spans="1:17">
      <c r="A962" s="1" t="s">
        <v>1003</v>
      </c>
      <c r="B962" s="4">
        <v>45801</v>
      </c>
      <c r="C962" s="1" t="s">
        <v>2</v>
      </c>
      <c r="D962" s="1" t="s">
        <v>41</v>
      </c>
      <c r="E962" s="1" t="s">
        <v>32</v>
      </c>
      <c r="F962" s="1" t="s">
        <v>38</v>
      </c>
      <c r="G962" s="1" t="s">
        <v>43</v>
      </c>
      <c r="H962" s="1">
        <v>1</v>
      </c>
      <c r="I962" s="1">
        <v>1</v>
      </c>
      <c r="J962" s="1">
        <v>1</v>
      </c>
      <c r="K962" s="1">
        <v>0</v>
      </c>
      <c r="L962" s="1">
        <v>0</v>
      </c>
      <c r="M962" s="1">
        <v>1</v>
      </c>
      <c r="N962" s="1">
        <f t="shared" si="14"/>
        <v>1</v>
      </c>
      <c r="O962" s="1">
        <v>0</v>
      </c>
      <c r="P962" s="1"/>
      <c r="Q962" s="1">
        <v>83.4</v>
      </c>
    </row>
    <row r="963" spans="1:17">
      <c r="A963" s="1" t="s">
        <v>1004</v>
      </c>
      <c r="B963" s="4">
        <v>45734</v>
      </c>
      <c r="C963" s="1" t="s">
        <v>2</v>
      </c>
      <c r="D963" s="1" t="s">
        <v>41</v>
      </c>
      <c r="E963" s="1" t="s">
        <v>37</v>
      </c>
      <c r="F963" s="1" t="s">
        <v>38</v>
      </c>
      <c r="G963" s="1" t="s">
        <v>34</v>
      </c>
      <c r="H963" s="1">
        <v>1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f t="shared" ref="N963:N1026" si="15">IF(M963&gt;0,1,0)</f>
        <v>0</v>
      </c>
      <c r="O963" s="1">
        <v>0</v>
      </c>
      <c r="P963" s="1"/>
      <c r="Q963" s="1">
        <v>75.900000000000006</v>
      </c>
    </row>
    <row r="964" spans="1:17">
      <c r="A964" s="1" t="s">
        <v>1005</v>
      </c>
      <c r="B964" s="4">
        <v>45668</v>
      </c>
      <c r="C964" s="1" t="s">
        <v>2</v>
      </c>
      <c r="D964" s="1" t="s">
        <v>41</v>
      </c>
      <c r="E964" s="1" t="s">
        <v>32</v>
      </c>
      <c r="F964" s="1" t="s">
        <v>42</v>
      </c>
      <c r="G964" s="1" t="s">
        <v>39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1</v>
      </c>
      <c r="N964" s="1">
        <f t="shared" si="15"/>
        <v>1</v>
      </c>
      <c r="O964" s="1">
        <v>0</v>
      </c>
      <c r="P964" s="1"/>
      <c r="Q964" s="1">
        <v>71.8</v>
      </c>
    </row>
    <row r="965" spans="1:17">
      <c r="A965" s="1" t="s">
        <v>1006</v>
      </c>
      <c r="B965" s="4">
        <v>45697</v>
      </c>
      <c r="C965" s="1" t="s">
        <v>2</v>
      </c>
      <c r="D965" s="1" t="s">
        <v>45</v>
      </c>
      <c r="E965" s="1" t="s">
        <v>37</v>
      </c>
      <c r="F965" s="1" t="s">
        <v>38</v>
      </c>
      <c r="G965" s="1" t="s">
        <v>34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f t="shared" si="15"/>
        <v>0</v>
      </c>
      <c r="O965" s="1">
        <v>0</v>
      </c>
      <c r="P965" s="1"/>
      <c r="Q965" s="1">
        <v>37.9</v>
      </c>
    </row>
    <row r="966" spans="1:17">
      <c r="A966" s="1" t="s">
        <v>1007</v>
      </c>
      <c r="B966" s="4">
        <v>45717</v>
      </c>
      <c r="C966" s="1" t="s">
        <v>2</v>
      </c>
      <c r="D966" s="1" t="s">
        <v>31</v>
      </c>
      <c r="E966" s="1" t="s">
        <v>32</v>
      </c>
      <c r="F966" s="1" t="s">
        <v>54</v>
      </c>
      <c r="G966" s="1" t="s">
        <v>39</v>
      </c>
      <c r="H966" s="1">
        <v>1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f t="shared" si="15"/>
        <v>0</v>
      </c>
      <c r="O966" s="1">
        <v>0</v>
      </c>
      <c r="P966" s="1"/>
      <c r="Q966" s="1">
        <v>59.8</v>
      </c>
    </row>
    <row r="967" spans="1:17">
      <c r="A967" s="1" t="s">
        <v>1008</v>
      </c>
      <c r="B967" s="4">
        <v>45784</v>
      </c>
      <c r="C967" s="1" t="s">
        <v>2</v>
      </c>
      <c r="D967" s="1" t="s">
        <v>31</v>
      </c>
      <c r="E967" s="1" t="s">
        <v>37</v>
      </c>
      <c r="F967" s="1" t="s">
        <v>38</v>
      </c>
      <c r="G967" s="1" t="s">
        <v>34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f t="shared" si="15"/>
        <v>0</v>
      </c>
      <c r="O967" s="1">
        <v>0</v>
      </c>
      <c r="P967" s="1"/>
      <c r="Q967" s="1">
        <v>66.900000000000006</v>
      </c>
    </row>
    <row r="968" spans="1:17">
      <c r="A968" s="1" t="s">
        <v>1009</v>
      </c>
      <c r="B968" s="4">
        <v>45707</v>
      </c>
      <c r="C968" s="1" t="s">
        <v>2</v>
      </c>
      <c r="D968" s="1" t="s">
        <v>45</v>
      </c>
      <c r="E968" s="1" t="s">
        <v>32</v>
      </c>
      <c r="F968" s="1"/>
      <c r="G968" s="1" t="s">
        <v>39</v>
      </c>
      <c r="H968" s="1">
        <v>1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f t="shared" si="15"/>
        <v>0</v>
      </c>
      <c r="O968" s="1">
        <v>0</v>
      </c>
      <c r="P968" s="1"/>
      <c r="Q968" s="1">
        <v>59</v>
      </c>
    </row>
    <row r="969" spans="1:17">
      <c r="A969" s="1" t="s">
        <v>1010</v>
      </c>
      <c r="B969" s="4">
        <v>45714</v>
      </c>
      <c r="C969" s="1" t="s">
        <v>2</v>
      </c>
      <c r="D969" s="1" t="s">
        <v>36</v>
      </c>
      <c r="E969" s="1" t="s">
        <v>37</v>
      </c>
      <c r="F969" s="1" t="s">
        <v>38</v>
      </c>
      <c r="G969" s="1" t="s">
        <v>43</v>
      </c>
      <c r="H969" s="1">
        <v>1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f t="shared" si="15"/>
        <v>0</v>
      </c>
      <c r="O969" s="1">
        <v>0</v>
      </c>
      <c r="P969" s="1"/>
      <c r="Q969" s="1">
        <v>80.099999999999994</v>
      </c>
    </row>
    <row r="970" spans="1:17">
      <c r="A970" s="1" t="s">
        <v>1011</v>
      </c>
      <c r="B970" s="4">
        <v>45739</v>
      </c>
      <c r="C970" s="1" t="s">
        <v>2</v>
      </c>
      <c r="D970" s="1" t="s">
        <v>45</v>
      </c>
      <c r="E970" s="1" t="s">
        <v>37</v>
      </c>
      <c r="F970" s="1" t="s">
        <v>54</v>
      </c>
      <c r="G970" s="1" t="s">
        <v>39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f t="shared" si="15"/>
        <v>0</v>
      </c>
      <c r="O970" s="1">
        <v>0</v>
      </c>
      <c r="P970" s="1"/>
      <c r="Q970" s="1">
        <v>64.3</v>
      </c>
    </row>
    <row r="971" spans="1:17">
      <c r="A971" s="1" t="s">
        <v>1012</v>
      </c>
      <c r="B971" s="4">
        <v>45772</v>
      </c>
      <c r="C971" s="1" t="s">
        <v>2</v>
      </c>
      <c r="D971" s="1" t="s">
        <v>45</v>
      </c>
      <c r="E971" s="1" t="s">
        <v>32</v>
      </c>
      <c r="F971" s="1" t="s">
        <v>54</v>
      </c>
      <c r="G971" s="1" t="s">
        <v>39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1</v>
      </c>
      <c r="N971" s="1">
        <f t="shared" si="15"/>
        <v>1</v>
      </c>
      <c r="O971" s="1">
        <v>0</v>
      </c>
      <c r="P971" s="1"/>
      <c r="Q971" s="1">
        <v>57.4</v>
      </c>
    </row>
    <row r="972" spans="1:17">
      <c r="A972" s="1" t="s">
        <v>1013</v>
      </c>
      <c r="B972" s="4">
        <v>45787</v>
      </c>
      <c r="C972" s="1" t="s">
        <v>2</v>
      </c>
      <c r="D972" s="1" t="s">
        <v>31</v>
      </c>
      <c r="E972" s="1" t="s">
        <v>32</v>
      </c>
      <c r="F972" s="1" t="s">
        <v>54</v>
      </c>
      <c r="G972" s="1" t="s">
        <v>39</v>
      </c>
      <c r="H972" s="1">
        <v>1</v>
      </c>
      <c r="I972" s="1">
        <v>1</v>
      </c>
      <c r="J972" s="1">
        <v>1</v>
      </c>
      <c r="K972" s="1">
        <v>0</v>
      </c>
      <c r="L972" s="1">
        <v>0</v>
      </c>
      <c r="M972" s="1">
        <v>0</v>
      </c>
      <c r="N972" s="1">
        <f t="shared" si="15"/>
        <v>0</v>
      </c>
      <c r="O972" s="1">
        <v>0</v>
      </c>
      <c r="P972" s="1"/>
      <c r="Q972" s="1">
        <v>83.6</v>
      </c>
    </row>
    <row r="973" spans="1:17">
      <c r="A973" s="1" t="s">
        <v>1014</v>
      </c>
      <c r="B973" s="4">
        <v>45769</v>
      </c>
      <c r="C973" s="1" t="s">
        <v>2</v>
      </c>
      <c r="D973" s="1" t="s">
        <v>41</v>
      </c>
      <c r="E973" s="1" t="s">
        <v>37</v>
      </c>
      <c r="F973" s="1" t="s">
        <v>42</v>
      </c>
      <c r="G973" s="1" t="s">
        <v>43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f t="shared" si="15"/>
        <v>0</v>
      </c>
      <c r="O973" s="1">
        <v>0</v>
      </c>
      <c r="P973" s="1"/>
      <c r="Q973" s="1">
        <v>45.8</v>
      </c>
    </row>
    <row r="974" spans="1:17">
      <c r="A974" s="1" t="s">
        <v>1015</v>
      </c>
      <c r="B974" s="4">
        <v>45706</v>
      </c>
      <c r="C974" s="1" t="s">
        <v>2</v>
      </c>
      <c r="D974" s="1" t="s">
        <v>36</v>
      </c>
      <c r="E974" s="1" t="s">
        <v>37</v>
      </c>
      <c r="F974" s="1" t="s">
        <v>52</v>
      </c>
      <c r="G974" s="1" t="s">
        <v>34</v>
      </c>
      <c r="H974" s="1">
        <v>1</v>
      </c>
      <c r="I974" s="1">
        <v>1</v>
      </c>
      <c r="J974" s="1">
        <v>1</v>
      </c>
      <c r="K974" s="1">
        <v>0</v>
      </c>
      <c r="L974" s="1">
        <v>0</v>
      </c>
      <c r="M974" s="1">
        <v>0</v>
      </c>
      <c r="N974" s="1">
        <f t="shared" si="15"/>
        <v>0</v>
      </c>
      <c r="O974" s="1">
        <v>0</v>
      </c>
      <c r="P974" s="1"/>
      <c r="Q974" s="1">
        <v>64.3</v>
      </c>
    </row>
    <row r="975" spans="1:17">
      <c r="A975" s="1" t="s">
        <v>1016</v>
      </c>
      <c r="B975" s="4">
        <v>45683</v>
      </c>
      <c r="C975" s="1" t="s">
        <v>2</v>
      </c>
      <c r="D975" s="1" t="s">
        <v>45</v>
      </c>
      <c r="E975" s="1" t="s">
        <v>37</v>
      </c>
      <c r="F975" s="1" t="s">
        <v>42</v>
      </c>
      <c r="G975" s="1" t="s">
        <v>43</v>
      </c>
      <c r="H975" s="1">
        <v>1</v>
      </c>
      <c r="I975" s="1">
        <v>1</v>
      </c>
      <c r="J975" s="1">
        <v>1</v>
      </c>
      <c r="K975" s="1">
        <v>0</v>
      </c>
      <c r="L975" s="1">
        <v>0</v>
      </c>
      <c r="M975" s="1">
        <v>0</v>
      </c>
      <c r="N975" s="1">
        <f t="shared" si="15"/>
        <v>0</v>
      </c>
      <c r="O975" s="1">
        <v>0</v>
      </c>
      <c r="P975" s="1"/>
      <c r="Q975" s="1">
        <v>80.5</v>
      </c>
    </row>
    <row r="976" spans="1:17">
      <c r="A976" s="1" t="s">
        <v>1017</v>
      </c>
      <c r="B976" s="4">
        <v>45775</v>
      </c>
      <c r="C976" s="1" t="s">
        <v>2</v>
      </c>
      <c r="D976" s="1" t="s">
        <v>31</v>
      </c>
      <c r="E976" s="1" t="s">
        <v>37</v>
      </c>
      <c r="F976" s="1" t="s">
        <v>38</v>
      </c>
      <c r="G976" s="1" t="s">
        <v>39</v>
      </c>
      <c r="H976" s="1">
        <v>1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f t="shared" si="15"/>
        <v>0</v>
      </c>
      <c r="O976" s="1">
        <v>0</v>
      </c>
      <c r="P976" s="1"/>
      <c r="Q976" s="1">
        <v>46.3</v>
      </c>
    </row>
    <row r="977" spans="1:17">
      <c r="A977" s="1" t="s">
        <v>1018</v>
      </c>
      <c r="B977" s="4">
        <v>45749</v>
      </c>
      <c r="C977" s="1" t="s">
        <v>2</v>
      </c>
      <c r="D977" s="1" t="s">
        <v>45</v>
      </c>
      <c r="E977" s="1" t="s">
        <v>32</v>
      </c>
      <c r="F977" s="1" t="s">
        <v>33</v>
      </c>
      <c r="G977" s="1" t="s">
        <v>34</v>
      </c>
      <c r="H977" s="1">
        <v>1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f t="shared" si="15"/>
        <v>0</v>
      </c>
      <c r="O977" s="1">
        <v>0</v>
      </c>
      <c r="P977" s="1"/>
      <c r="Q977" s="1">
        <v>71.599999999999994</v>
      </c>
    </row>
    <row r="978" spans="1:17">
      <c r="A978" s="1" t="s">
        <v>1019</v>
      </c>
      <c r="B978" s="4">
        <v>45759</v>
      </c>
      <c r="C978" s="1" t="s">
        <v>2</v>
      </c>
      <c r="D978" s="1" t="s">
        <v>45</v>
      </c>
      <c r="E978" s="1" t="s">
        <v>32</v>
      </c>
      <c r="F978" s="1" t="s">
        <v>33</v>
      </c>
      <c r="G978" s="1" t="s">
        <v>43</v>
      </c>
      <c r="H978" s="1">
        <v>1</v>
      </c>
      <c r="I978" s="1">
        <v>1</v>
      </c>
      <c r="J978" s="1">
        <v>0</v>
      </c>
      <c r="K978" s="1">
        <v>0</v>
      </c>
      <c r="L978" s="1">
        <v>0</v>
      </c>
      <c r="M978" s="1">
        <v>0</v>
      </c>
      <c r="N978" s="1">
        <f t="shared" si="15"/>
        <v>0</v>
      </c>
      <c r="O978" s="1">
        <v>0</v>
      </c>
      <c r="P978" s="1"/>
      <c r="Q978" s="1">
        <v>57.8</v>
      </c>
    </row>
    <row r="979" spans="1:17">
      <c r="A979" s="1" t="s">
        <v>1020</v>
      </c>
      <c r="B979" s="4">
        <v>45660</v>
      </c>
      <c r="C979" s="1" t="s">
        <v>2</v>
      </c>
      <c r="D979" s="1" t="s">
        <v>36</v>
      </c>
      <c r="E979" s="1" t="s">
        <v>32</v>
      </c>
      <c r="F979" s="1" t="s">
        <v>33</v>
      </c>
      <c r="G979" s="1" t="s">
        <v>34</v>
      </c>
      <c r="H979" s="1">
        <v>1</v>
      </c>
      <c r="I979" s="1">
        <v>1</v>
      </c>
      <c r="J979" s="1">
        <v>1</v>
      </c>
      <c r="K979" s="1">
        <v>0</v>
      </c>
      <c r="L979" s="1">
        <v>0</v>
      </c>
      <c r="M979" s="1">
        <v>1</v>
      </c>
      <c r="N979" s="1">
        <f t="shared" si="15"/>
        <v>1</v>
      </c>
      <c r="O979" s="1">
        <v>0</v>
      </c>
      <c r="P979" s="1"/>
      <c r="Q979" s="1">
        <v>57.8</v>
      </c>
    </row>
    <row r="980" spans="1:17">
      <c r="A980" s="1" t="s">
        <v>1021</v>
      </c>
      <c r="B980" s="4">
        <v>45785</v>
      </c>
      <c r="C980" s="1" t="s">
        <v>2</v>
      </c>
      <c r="D980" s="1" t="s">
        <v>31</v>
      </c>
      <c r="E980" s="1" t="s">
        <v>37</v>
      </c>
      <c r="F980" s="1" t="s">
        <v>42</v>
      </c>
      <c r="G980" s="1" t="s">
        <v>39</v>
      </c>
      <c r="H980" s="1">
        <v>1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f t="shared" si="15"/>
        <v>0</v>
      </c>
      <c r="O980" s="1">
        <v>0</v>
      </c>
      <c r="P980" s="1"/>
      <c r="Q980" s="1">
        <v>38.299999999999997</v>
      </c>
    </row>
    <row r="981" spans="1:17">
      <c r="A981" s="1" t="s">
        <v>1022</v>
      </c>
      <c r="B981" s="4">
        <v>45708</v>
      </c>
      <c r="C981" s="1" t="s">
        <v>2</v>
      </c>
      <c r="D981" s="1" t="s">
        <v>31</v>
      </c>
      <c r="E981" s="1" t="s">
        <v>37</v>
      </c>
      <c r="F981" s="1" t="s">
        <v>52</v>
      </c>
      <c r="G981" s="1" t="s">
        <v>43</v>
      </c>
      <c r="H981" s="1">
        <v>1</v>
      </c>
      <c r="I981" s="1">
        <v>0</v>
      </c>
      <c r="J981" s="1">
        <v>0</v>
      </c>
      <c r="K981" s="1">
        <v>0</v>
      </c>
      <c r="L981" s="1">
        <v>0</v>
      </c>
      <c r="M981" s="1">
        <v>1</v>
      </c>
      <c r="N981" s="1">
        <f t="shared" si="15"/>
        <v>1</v>
      </c>
      <c r="O981" s="1">
        <v>0</v>
      </c>
      <c r="P981" s="1"/>
      <c r="Q981" s="1">
        <v>66.099999999999994</v>
      </c>
    </row>
    <row r="982" spans="1:17">
      <c r="A982" s="1" t="s">
        <v>1023</v>
      </c>
      <c r="B982" s="4">
        <v>45733</v>
      </c>
      <c r="C982" s="1" t="s">
        <v>2</v>
      </c>
      <c r="D982" s="1" t="s">
        <v>31</v>
      </c>
      <c r="E982" s="1" t="s">
        <v>32</v>
      </c>
      <c r="F982" s="1" t="s">
        <v>42</v>
      </c>
      <c r="G982" s="1" t="s">
        <v>43</v>
      </c>
      <c r="H982" s="1">
        <v>1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f t="shared" si="15"/>
        <v>0</v>
      </c>
      <c r="O982" s="1">
        <v>0</v>
      </c>
      <c r="P982" s="1"/>
      <c r="Q982" s="1">
        <v>66.5</v>
      </c>
    </row>
    <row r="983" spans="1:17">
      <c r="A983" s="1" t="s">
        <v>1024</v>
      </c>
      <c r="B983" s="4">
        <v>45757</v>
      </c>
      <c r="C983" s="1" t="s">
        <v>2</v>
      </c>
      <c r="D983" s="1" t="s">
        <v>45</v>
      </c>
      <c r="E983" s="1" t="s">
        <v>32</v>
      </c>
      <c r="F983" s="1" t="s">
        <v>33</v>
      </c>
      <c r="G983" s="1" t="s">
        <v>39</v>
      </c>
      <c r="H983" s="1">
        <v>1</v>
      </c>
      <c r="I983" s="1">
        <v>0</v>
      </c>
      <c r="J983" s="1">
        <v>0</v>
      </c>
      <c r="K983" s="1">
        <v>0</v>
      </c>
      <c r="L983" s="1">
        <v>0</v>
      </c>
      <c r="M983" s="1">
        <v>3</v>
      </c>
      <c r="N983" s="1">
        <f t="shared" si="15"/>
        <v>1</v>
      </c>
      <c r="O983" s="1">
        <v>0</v>
      </c>
      <c r="P983" s="1"/>
      <c r="Q983" s="1">
        <v>51.5</v>
      </c>
    </row>
    <row r="984" spans="1:17">
      <c r="A984" s="1" t="s">
        <v>1025</v>
      </c>
      <c r="B984" s="4">
        <v>45785</v>
      </c>
      <c r="C984" s="1" t="s">
        <v>2</v>
      </c>
      <c r="D984" s="1" t="s">
        <v>31</v>
      </c>
      <c r="E984" s="1" t="s">
        <v>32</v>
      </c>
      <c r="F984" s="1" t="s">
        <v>52</v>
      </c>
      <c r="G984" s="1" t="s">
        <v>39</v>
      </c>
      <c r="H984" s="1">
        <v>1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f t="shared" si="15"/>
        <v>0</v>
      </c>
      <c r="O984" s="1">
        <v>0</v>
      </c>
      <c r="P984" s="1"/>
      <c r="Q984" s="1">
        <v>59.9</v>
      </c>
    </row>
    <row r="985" spans="1:17">
      <c r="A985" s="1" t="s">
        <v>1026</v>
      </c>
      <c r="B985" s="4">
        <v>45766</v>
      </c>
      <c r="C985" s="1" t="s">
        <v>2</v>
      </c>
      <c r="D985" s="1" t="s">
        <v>36</v>
      </c>
      <c r="E985" s="1" t="s">
        <v>37</v>
      </c>
      <c r="F985" s="1" t="s">
        <v>42</v>
      </c>
      <c r="G985" s="1" t="s">
        <v>34</v>
      </c>
      <c r="H985" s="1">
        <v>1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f t="shared" si="15"/>
        <v>0</v>
      </c>
      <c r="O985" s="1">
        <v>0</v>
      </c>
      <c r="P985" s="1"/>
      <c r="Q985" s="1">
        <v>58.8</v>
      </c>
    </row>
    <row r="986" spans="1:17">
      <c r="A986" s="1" t="s">
        <v>1027</v>
      </c>
      <c r="B986" s="4">
        <v>45658</v>
      </c>
      <c r="C986" s="1" t="s">
        <v>2</v>
      </c>
      <c r="D986" s="1" t="s">
        <v>45</v>
      </c>
      <c r="E986" s="1" t="s">
        <v>47</v>
      </c>
      <c r="F986" s="1" t="s">
        <v>42</v>
      </c>
      <c r="G986" s="1" t="s">
        <v>34</v>
      </c>
      <c r="H986" s="1">
        <v>1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f t="shared" si="15"/>
        <v>0</v>
      </c>
      <c r="O986" s="1">
        <v>0</v>
      </c>
      <c r="P986" s="1"/>
      <c r="Q986" s="1">
        <v>69.599999999999994</v>
      </c>
    </row>
    <row r="987" spans="1:17">
      <c r="A987" s="1" t="s">
        <v>1028</v>
      </c>
      <c r="B987" s="4">
        <v>45726</v>
      </c>
      <c r="C987" s="1" t="s">
        <v>2</v>
      </c>
      <c r="D987" s="1" t="s">
        <v>41</v>
      </c>
      <c r="E987" s="1" t="s">
        <v>37</v>
      </c>
      <c r="F987" s="1" t="s">
        <v>42</v>
      </c>
      <c r="G987" s="1" t="s">
        <v>39</v>
      </c>
      <c r="H987" s="1">
        <v>1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f t="shared" si="15"/>
        <v>0</v>
      </c>
      <c r="O987" s="1">
        <v>0</v>
      </c>
      <c r="P987" s="1"/>
      <c r="Q987" s="1">
        <v>77.5</v>
      </c>
    </row>
    <row r="988" spans="1:17">
      <c r="A988" s="1" t="s">
        <v>1029</v>
      </c>
      <c r="B988" s="4">
        <v>45726</v>
      </c>
      <c r="C988" s="1" t="s">
        <v>2</v>
      </c>
      <c r="D988" s="1" t="s">
        <v>41</v>
      </c>
      <c r="E988" s="1" t="s">
        <v>47</v>
      </c>
      <c r="F988" s="1" t="s">
        <v>54</v>
      </c>
      <c r="G988" s="1" t="s">
        <v>43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2</v>
      </c>
      <c r="N988" s="1">
        <f t="shared" si="15"/>
        <v>1</v>
      </c>
      <c r="O988" s="1">
        <v>0</v>
      </c>
      <c r="P988" s="1"/>
      <c r="Q988" s="1">
        <v>57.5</v>
      </c>
    </row>
    <row r="989" spans="1:17">
      <c r="A989" s="1" t="s">
        <v>1030</v>
      </c>
      <c r="B989" s="4">
        <v>45766</v>
      </c>
      <c r="C989" s="1" t="s">
        <v>2</v>
      </c>
      <c r="D989" s="1" t="s">
        <v>36</v>
      </c>
      <c r="E989" s="1" t="s">
        <v>47</v>
      </c>
      <c r="F989" s="1" t="s">
        <v>33</v>
      </c>
      <c r="G989" s="1" t="s">
        <v>34</v>
      </c>
      <c r="H989" s="1">
        <v>1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f t="shared" si="15"/>
        <v>0</v>
      </c>
      <c r="O989" s="1">
        <v>0</v>
      </c>
      <c r="P989" s="1"/>
      <c r="Q989" s="1">
        <v>64.2</v>
      </c>
    </row>
    <row r="990" spans="1:17">
      <c r="A990" s="1" t="s">
        <v>1031</v>
      </c>
      <c r="B990" s="4">
        <v>45758</v>
      </c>
      <c r="C990" s="1" t="s">
        <v>2</v>
      </c>
      <c r="D990" s="1" t="s">
        <v>36</v>
      </c>
      <c r="E990" s="1" t="s">
        <v>32</v>
      </c>
      <c r="F990" s="1" t="s">
        <v>38</v>
      </c>
      <c r="G990" s="1" t="s">
        <v>39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f t="shared" si="15"/>
        <v>0</v>
      </c>
      <c r="O990" s="1">
        <v>0</v>
      </c>
      <c r="P990" s="1"/>
      <c r="Q990" s="1">
        <v>60</v>
      </c>
    </row>
    <row r="991" spans="1:17">
      <c r="A991" s="1" t="s">
        <v>1032</v>
      </c>
      <c r="B991" s="4">
        <v>45757</v>
      </c>
      <c r="C991" s="1" t="s">
        <v>2</v>
      </c>
      <c r="D991" s="1" t="s">
        <v>41</v>
      </c>
      <c r="E991" s="1" t="s">
        <v>37</v>
      </c>
      <c r="F991" s="1" t="s">
        <v>38</v>
      </c>
      <c r="G991" s="1" t="s">
        <v>34</v>
      </c>
      <c r="H991" s="1">
        <v>1</v>
      </c>
      <c r="I991" s="1">
        <v>0</v>
      </c>
      <c r="J991" s="1">
        <v>0</v>
      </c>
      <c r="K991" s="1">
        <v>0</v>
      </c>
      <c r="L991" s="1">
        <v>0</v>
      </c>
      <c r="M991" s="1">
        <v>1</v>
      </c>
      <c r="N991" s="1">
        <f t="shared" si="15"/>
        <v>1</v>
      </c>
      <c r="O991" s="1">
        <v>0</v>
      </c>
      <c r="P991" s="1"/>
      <c r="Q991" s="1">
        <v>43.7</v>
      </c>
    </row>
    <row r="992" spans="1:17">
      <c r="A992" s="1" t="s">
        <v>1033</v>
      </c>
      <c r="B992" s="4">
        <v>45670</v>
      </c>
      <c r="C992" s="1" t="s">
        <v>2</v>
      </c>
      <c r="D992" s="1" t="s">
        <v>36</v>
      </c>
      <c r="E992" s="1" t="s">
        <v>32</v>
      </c>
      <c r="F992" s="1" t="s">
        <v>54</v>
      </c>
      <c r="G992" s="1" t="s">
        <v>39</v>
      </c>
      <c r="H992" s="1">
        <v>1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f t="shared" si="15"/>
        <v>0</v>
      </c>
      <c r="O992" s="1">
        <v>0</v>
      </c>
      <c r="P992" s="1"/>
      <c r="Q992" s="1">
        <v>64.900000000000006</v>
      </c>
    </row>
    <row r="993" spans="1:17">
      <c r="A993" s="1" t="s">
        <v>1034</v>
      </c>
      <c r="B993" s="4">
        <v>45744</v>
      </c>
      <c r="C993" s="1" t="s">
        <v>2</v>
      </c>
      <c r="D993" s="1" t="s">
        <v>45</v>
      </c>
      <c r="E993" s="1" t="s">
        <v>32</v>
      </c>
      <c r="F993" s="1" t="s">
        <v>38</v>
      </c>
      <c r="G993" s="1" t="s">
        <v>39</v>
      </c>
      <c r="H993" s="1">
        <v>1</v>
      </c>
      <c r="I993" s="1">
        <v>1</v>
      </c>
      <c r="J993" s="1">
        <v>0</v>
      </c>
      <c r="K993" s="1">
        <v>0</v>
      </c>
      <c r="L993" s="1">
        <v>0</v>
      </c>
      <c r="M993" s="1">
        <v>0</v>
      </c>
      <c r="N993" s="1">
        <f t="shared" si="15"/>
        <v>0</v>
      </c>
      <c r="O993" s="1">
        <v>0</v>
      </c>
      <c r="P993" s="1"/>
      <c r="Q993" s="1">
        <v>45.5</v>
      </c>
    </row>
    <row r="994" spans="1:17">
      <c r="A994" s="1" t="s">
        <v>1035</v>
      </c>
      <c r="B994" s="4">
        <v>45686</v>
      </c>
      <c r="C994" s="1" t="s">
        <v>2</v>
      </c>
      <c r="D994" s="1" t="s">
        <v>41</v>
      </c>
      <c r="E994" s="1" t="s">
        <v>37</v>
      </c>
      <c r="F994" s="1" t="s">
        <v>42</v>
      </c>
      <c r="G994" s="1" t="s">
        <v>39</v>
      </c>
      <c r="H994" s="1">
        <v>1</v>
      </c>
      <c r="I994" s="1">
        <v>1</v>
      </c>
      <c r="J994" s="1">
        <v>1</v>
      </c>
      <c r="K994" s="1">
        <v>1</v>
      </c>
      <c r="L994" s="1">
        <v>1772.97</v>
      </c>
      <c r="M994" s="1">
        <v>0</v>
      </c>
      <c r="N994" s="1">
        <f t="shared" si="15"/>
        <v>0</v>
      </c>
      <c r="O994" s="1">
        <v>0</v>
      </c>
      <c r="P994" s="1">
        <v>8</v>
      </c>
      <c r="Q994" s="1">
        <v>61.2</v>
      </c>
    </row>
    <row r="995" spans="1:17">
      <c r="A995" s="1" t="s">
        <v>1036</v>
      </c>
      <c r="B995" s="4">
        <v>45743</v>
      </c>
      <c r="C995" s="1" t="s">
        <v>2</v>
      </c>
      <c r="D995" s="1" t="s">
        <v>45</v>
      </c>
      <c r="E995" s="1" t="s">
        <v>37</v>
      </c>
      <c r="F995" s="1" t="s">
        <v>52</v>
      </c>
      <c r="G995" s="1" t="s">
        <v>39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f t="shared" si="15"/>
        <v>0</v>
      </c>
      <c r="O995" s="1">
        <v>0</v>
      </c>
      <c r="P995" s="1"/>
      <c r="Q995" s="1">
        <v>87.8</v>
      </c>
    </row>
    <row r="996" spans="1:17">
      <c r="A996" s="1" t="s">
        <v>1037</v>
      </c>
      <c r="B996" s="4">
        <v>45736</v>
      </c>
      <c r="C996" s="1" t="s">
        <v>2</v>
      </c>
      <c r="D996" s="1" t="s">
        <v>41</v>
      </c>
      <c r="E996" s="1" t="s">
        <v>47</v>
      </c>
      <c r="F996" s="1" t="s">
        <v>54</v>
      </c>
      <c r="G996" s="1" t="s">
        <v>39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f t="shared" si="15"/>
        <v>0</v>
      </c>
      <c r="O996" s="1">
        <v>0</v>
      </c>
      <c r="P996" s="1"/>
      <c r="Q996" s="1">
        <v>86.4</v>
      </c>
    </row>
    <row r="997" spans="1:17">
      <c r="A997" s="1" t="s">
        <v>1038</v>
      </c>
      <c r="B997" s="4">
        <v>45666</v>
      </c>
      <c r="C997" s="1" t="s">
        <v>2</v>
      </c>
      <c r="D997" s="1" t="s">
        <v>31</v>
      </c>
      <c r="E997" s="1" t="s">
        <v>37</v>
      </c>
      <c r="F997" s="1" t="s">
        <v>42</v>
      </c>
      <c r="G997" s="1" t="s">
        <v>34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1</v>
      </c>
      <c r="N997" s="1">
        <f t="shared" si="15"/>
        <v>1</v>
      </c>
      <c r="O997" s="1">
        <v>0</v>
      </c>
      <c r="P997" s="1"/>
      <c r="Q997" s="1">
        <v>71.400000000000006</v>
      </c>
    </row>
    <row r="998" spans="1:17">
      <c r="A998" s="1" t="s">
        <v>1039</v>
      </c>
      <c r="B998" s="4">
        <v>45772</v>
      </c>
      <c r="C998" s="1" t="s">
        <v>2</v>
      </c>
      <c r="D998" s="1" t="s">
        <v>36</v>
      </c>
      <c r="E998" s="1" t="s">
        <v>37</v>
      </c>
      <c r="F998" s="1" t="s">
        <v>54</v>
      </c>
      <c r="G998" s="1" t="s">
        <v>39</v>
      </c>
      <c r="H998" s="1">
        <v>1</v>
      </c>
      <c r="I998" s="1">
        <v>1</v>
      </c>
      <c r="J998" s="1">
        <v>1</v>
      </c>
      <c r="K998" s="1">
        <v>1</v>
      </c>
      <c r="L998" s="1">
        <v>218.66</v>
      </c>
      <c r="M998" s="1">
        <v>0</v>
      </c>
      <c r="N998" s="1">
        <f t="shared" si="15"/>
        <v>0</v>
      </c>
      <c r="O998" s="1">
        <v>1</v>
      </c>
      <c r="P998" s="1">
        <v>8</v>
      </c>
      <c r="Q998" s="1">
        <v>72.2</v>
      </c>
    </row>
    <row r="999" spans="1:17">
      <c r="A999" s="1" t="s">
        <v>1040</v>
      </c>
      <c r="B999" s="4">
        <v>45758</v>
      </c>
      <c r="C999" s="1" t="s">
        <v>2</v>
      </c>
      <c r="D999" s="1" t="s">
        <v>45</v>
      </c>
      <c r="E999" s="1" t="s">
        <v>32</v>
      </c>
      <c r="F999" s="1" t="s">
        <v>54</v>
      </c>
      <c r="G999" s="1" t="s">
        <v>39</v>
      </c>
      <c r="H999" s="1">
        <v>1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f t="shared" si="15"/>
        <v>0</v>
      </c>
      <c r="O999" s="1">
        <v>0</v>
      </c>
      <c r="P999" s="1"/>
      <c r="Q999" s="1">
        <v>51.9</v>
      </c>
    </row>
    <row r="1000" spans="1:17">
      <c r="A1000" s="1" t="s">
        <v>1041</v>
      </c>
      <c r="B1000" s="4">
        <v>45693</v>
      </c>
      <c r="C1000" s="1" t="s">
        <v>2</v>
      </c>
      <c r="D1000" s="1" t="s">
        <v>41</v>
      </c>
      <c r="E1000" s="1" t="s">
        <v>37</v>
      </c>
      <c r="F1000" s="1" t="s">
        <v>54</v>
      </c>
      <c r="G1000" s="1" t="s">
        <v>34</v>
      </c>
      <c r="H1000" s="1">
        <v>1</v>
      </c>
      <c r="I1000" s="1">
        <v>1</v>
      </c>
      <c r="J1000" s="1">
        <v>1</v>
      </c>
      <c r="K1000" s="1">
        <v>0</v>
      </c>
      <c r="L1000" s="1">
        <v>0</v>
      </c>
      <c r="M1000" s="1">
        <v>0</v>
      </c>
      <c r="N1000" s="1">
        <f t="shared" si="15"/>
        <v>0</v>
      </c>
      <c r="O1000" s="1">
        <v>0</v>
      </c>
      <c r="P1000" s="1"/>
      <c r="Q1000" s="1">
        <v>70.3</v>
      </c>
    </row>
    <row r="1001" spans="1:17">
      <c r="A1001" s="1" t="s">
        <v>1042</v>
      </c>
      <c r="B1001" s="4">
        <v>45744</v>
      </c>
      <c r="C1001" s="1" t="s">
        <v>2</v>
      </c>
      <c r="D1001" s="1" t="s">
        <v>45</v>
      </c>
      <c r="E1001" s="1" t="s">
        <v>37</v>
      </c>
      <c r="F1001" s="1" t="s">
        <v>54</v>
      </c>
      <c r="G1001" s="1" t="s">
        <v>43</v>
      </c>
      <c r="H1001" s="1">
        <v>1</v>
      </c>
      <c r="I1001" s="1">
        <v>0</v>
      </c>
      <c r="J1001" s="1">
        <v>0</v>
      </c>
      <c r="K1001" s="1">
        <v>0</v>
      </c>
      <c r="L1001" s="1">
        <v>0</v>
      </c>
      <c r="M1001" s="1">
        <v>1</v>
      </c>
      <c r="N1001" s="1">
        <f t="shared" si="15"/>
        <v>1</v>
      </c>
      <c r="O1001" s="1">
        <v>0</v>
      </c>
      <c r="P1001" s="1"/>
      <c r="Q1001" s="1">
        <v>49.2</v>
      </c>
    </row>
    <row r="1002" spans="1:17">
      <c r="A1002" s="1" t="s">
        <v>1043</v>
      </c>
      <c r="B1002" s="4">
        <v>45791</v>
      </c>
      <c r="C1002" s="1" t="s">
        <v>2</v>
      </c>
      <c r="D1002" s="1" t="s">
        <v>45</v>
      </c>
      <c r="E1002" s="1" t="s">
        <v>37</v>
      </c>
      <c r="F1002" s="1" t="s">
        <v>52</v>
      </c>
      <c r="G1002" s="1" t="s">
        <v>39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f t="shared" si="15"/>
        <v>0</v>
      </c>
      <c r="O1002" s="1">
        <v>0</v>
      </c>
      <c r="P1002" s="1"/>
      <c r="Q1002" s="1">
        <v>52.2</v>
      </c>
    </row>
    <row r="1003" spans="1:17">
      <c r="A1003" s="1" t="s">
        <v>1044</v>
      </c>
      <c r="B1003" s="4">
        <v>45726</v>
      </c>
      <c r="C1003" s="1" t="s">
        <v>2</v>
      </c>
      <c r="D1003" s="1" t="s">
        <v>41</v>
      </c>
      <c r="E1003" s="1" t="s">
        <v>37</v>
      </c>
      <c r="F1003" s="1" t="s">
        <v>42</v>
      </c>
      <c r="G1003" s="1" t="s">
        <v>34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1</v>
      </c>
      <c r="N1003" s="1">
        <f t="shared" si="15"/>
        <v>1</v>
      </c>
      <c r="O1003" s="1">
        <v>0</v>
      </c>
      <c r="P1003" s="1"/>
      <c r="Q1003" s="1">
        <v>62.6</v>
      </c>
    </row>
    <row r="1004" spans="1:17">
      <c r="A1004" s="1" t="s">
        <v>1045</v>
      </c>
      <c r="B1004" s="4">
        <v>45756</v>
      </c>
      <c r="C1004" s="1" t="s">
        <v>2</v>
      </c>
      <c r="D1004" s="1" t="s">
        <v>41</v>
      </c>
      <c r="E1004" s="1" t="s">
        <v>32</v>
      </c>
      <c r="F1004" s="1" t="s">
        <v>42</v>
      </c>
      <c r="G1004" s="1" t="s">
        <v>39</v>
      </c>
      <c r="H1004" s="1">
        <v>1</v>
      </c>
      <c r="I1004" s="1">
        <v>1</v>
      </c>
      <c r="J1004" s="1">
        <v>0</v>
      </c>
      <c r="K1004" s="1">
        <v>0</v>
      </c>
      <c r="L1004" s="1">
        <v>0</v>
      </c>
      <c r="M1004" s="1">
        <v>0</v>
      </c>
      <c r="N1004" s="1">
        <f t="shared" si="15"/>
        <v>0</v>
      </c>
      <c r="O1004" s="1">
        <v>0</v>
      </c>
      <c r="P1004" s="1"/>
      <c r="Q1004" s="1">
        <v>100</v>
      </c>
    </row>
    <row r="1005" spans="1:17">
      <c r="A1005" s="1" t="s">
        <v>1046</v>
      </c>
      <c r="B1005" s="4">
        <v>45701</v>
      </c>
      <c r="C1005" s="1" t="s">
        <v>2</v>
      </c>
      <c r="D1005" s="1" t="s">
        <v>31</v>
      </c>
      <c r="E1005" s="1" t="s">
        <v>37</v>
      </c>
      <c r="F1005" s="1" t="s">
        <v>52</v>
      </c>
      <c r="G1005" s="1" t="s">
        <v>34</v>
      </c>
      <c r="H1005" s="1">
        <v>1</v>
      </c>
      <c r="I1005" s="1">
        <v>1</v>
      </c>
      <c r="J1005" s="1">
        <v>1</v>
      </c>
      <c r="K1005" s="1">
        <v>0</v>
      </c>
      <c r="L1005" s="1">
        <v>0</v>
      </c>
      <c r="M1005" s="1">
        <v>2</v>
      </c>
      <c r="N1005" s="1">
        <f t="shared" si="15"/>
        <v>1</v>
      </c>
      <c r="O1005" s="1">
        <v>0</v>
      </c>
      <c r="P1005" s="1"/>
      <c r="Q1005" s="1">
        <v>45.9</v>
      </c>
    </row>
    <row r="1006" spans="1:17">
      <c r="A1006" s="1" t="s">
        <v>1047</v>
      </c>
      <c r="B1006" s="4">
        <v>45780</v>
      </c>
      <c r="C1006" s="1" t="s">
        <v>2</v>
      </c>
      <c r="D1006" s="1" t="s">
        <v>41</v>
      </c>
      <c r="E1006" s="1" t="s">
        <v>37</v>
      </c>
      <c r="F1006" s="1" t="s">
        <v>33</v>
      </c>
      <c r="G1006" s="1" t="s">
        <v>39</v>
      </c>
      <c r="H1006" s="1">
        <v>1</v>
      </c>
      <c r="I1006" s="1">
        <v>1</v>
      </c>
      <c r="J1006" s="1">
        <v>1</v>
      </c>
      <c r="K1006" s="1">
        <v>0</v>
      </c>
      <c r="L1006" s="1">
        <v>0</v>
      </c>
      <c r="M1006" s="1">
        <v>0</v>
      </c>
      <c r="N1006" s="1">
        <f t="shared" si="15"/>
        <v>0</v>
      </c>
      <c r="O1006" s="1">
        <v>0</v>
      </c>
      <c r="P1006" s="1"/>
      <c r="Q1006" s="1">
        <v>80.7</v>
      </c>
    </row>
    <row r="1007" spans="1:17">
      <c r="A1007" s="1" t="s">
        <v>1048</v>
      </c>
      <c r="B1007" s="4">
        <v>45763</v>
      </c>
      <c r="C1007" s="1" t="s">
        <v>2</v>
      </c>
      <c r="D1007" s="1" t="s">
        <v>45</v>
      </c>
      <c r="E1007" s="1" t="s">
        <v>32</v>
      </c>
      <c r="F1007" s="1" t="s">
        <v>52</v>
      </c>
      <c r="G1007" s="1" t="s">
        <v>43</v>
      </c>
      <c r="H1007" s="1">
        <v>1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f t="shared" si="15"/>
        <v>0</v>
      </c>
      <c r="O1007" s="1">
        <v>0</v>
      </c>
      <c r="P1007" s="1"/>
      <c r="Q1007" s="1">
        <v>51.9</v>
      </c>
    </row>
    <row r="1008" spans="1:17">
      <c r="A1008" s="1" t="s">
        <v>1049</v>
      </c>
      <c r="B1008" s="4">
        <v>45777</v>
      </c>
      <c r="C1008" s="1" t="s">
        <v>2</v>
      </c>
      <c r="D1008" s="1" t="s">
        <v>31</v>
      </c>
      <c r="E1008" s="1" t="s">
        <v>37</v>
      </c>
      <c r="F1008" s="1" t="s">
        <v>42</v>
      </c>
      <c r="G1008" s="1" t="s">
        <v>43</v>
      </c>
      <c r="H1008" s="1">
        <v>1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f t="shared" si="15"/>
        <v>0</v>
      </c>
      <c r="O1008" s="1">
        <v>0</v>
      </c>
      <c r="P1008" s="1"/>
      <c r="Q1008" s="1">
        <v>68.900000000000006</v>
      </c>
    </row>
    <row r="1009" spans="1:17">
      <c r="A1009" s="1" t="s">
        <v>1050</v>
      </c>
      <c r="B1009" s="4">
        <v>45706</v>
      </c>
      <c r="C1009" s="1" t="s">
        <v>2</v>
      </c>
      <c r="D1009" s="1" t="s">
        <v>36</v>
      </c>
      <c r="E1009" s="1" t="s">
        <v>32</v>
      </c>
      <c r="F1009" s="1" t="s">
        <v>38</v>
      </c>
      <c r="G1009" s="1" t="s">
        <v>39</v>
      </c>
      <c r="H1009" s="1">
        <v>1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f t="shared" si="15"/>
        <v>0</v>
      </c>
      <c r="O1009" s="1">
        <v>0</v>
      </c>
      <c r="P1009" s="1"/>
      <c r="Q1009" s="1">
        <v>66</v>
      </c>
    </row>
    <row r="1010" spans="1:17">
      <c r="A1010" s="1" t="s">
        <v>1051</v>
      </c>
      <c r="B1010" s="4">
        <v>45799</v>
      </c>
      <c r="C1010" s="1" t="s">
        <v>2</v>
      </c>
      <c r="D1010" s="1" t="s">
        <v>36</v>
      </c>
      <c r="E1010" s="1" t="s">
        <v>32</v>
      </c>
      <c r="F1010" s="1" t="s">
        <v>52</v>
      </c>
      <c r="G1010" s="1" t="s">
        <v>34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f t="shared" si="15"/>
        <v>0</v>
      </c>
      <c r="O1010" s="1">
        <v>0</v>
      </c>
      <c r="P1010" s="1"/>
      <c r="Q1010" s="1">
        <v>63.1</v>
      </c>
    </row>
    <row r="1011" spans="1:17">
      <c r="A1011" s="1" t="s">
        <v>1052</v>
      </c>
      <c r="B1011" s="4">
        <v>45798</v>
      </c>
      <c r="C1011" s="1" t="s">
        <v>2</v>
      </c>
      <c r="D1011" s="1" t="s">
        <v>45</v>
      </c>
      <c r="E1011" s="1" t="s">
        <v>32</v>
      </c>
      <c r="F1011" s="1" t="s">
        <v>38</v>
      </c>
      <c r="G1011" s="1" t="s">
        <v>39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f t="shared" si="15"/>
        <v>0</v>
      </c>
      <c r="O1011" s="1">
        <v>0</v>
      </c>
      <c r="P1011" s="1"/>
      <c r="Q1011" s="1">
        <v>56</v>
      </c>
    </row>
    <row r="1012" spans="1:17">
      <c r="A1012" s="1" t="s">
        <v>1053</v>
      </c>
      <c r="B1012" s="4">
        <v>45757</v>
      </c>
      <c r="C1012" s="1" t="s">
        <v>2</v>
      </c>
      <c r="D1012" s="1" t="s">
        <v>41</v>
      </c>
      <c r="E1012" s="1" t="s">
        <v>32</v>
      </c>
      <c r="F1012" s="1" t="s">
        <v>38</v>
      </c>
      <c r="G1012" s="1" t="s">
        <v>39</v>
      </c>
      <c r="H1012" s="1">
        <v>1</v>
      </c>
      <c r="I1012" s="1">
        <v>0</v>
      </c>
      <c r="J1012" s="1">
        <v>0</v>
      </c>
      <c r="K1012" s="1">
        <v>0</v>
      </c>
      <c r="L1012" s="1">
        <v>0</v>
      </c>
      <c r="M1012" s="1">
        <v>1</v>
      </c>
      <c r="N1012" s="1">
        <f t="shared" si="15"/>
        <v>1</v>
      </c>
      <c r="O1012" s="1">
        <v>0</v>
      </c>
      <c r="P1012" s="1"/>
      <c r="Q1012" s="1">
        <v>65.7</v>
      </c>
    </row>
    <row r="1013" spans="1:17">
      <c r="A1013" s="1" t="s">
        <v>1054</v>
      </c>
      <c r="B1013" s="4">
        <v>45664</v>
      </c>
      <c r="C1013" s="1" t="s">
        <v>2</v>
      </c>
      <c r="D1013" s="1" t="s">
        <v>31</v>
      </c>
      <c r="E1013" s="1" t="s">
        <v>32</v>
      </c>
      <c r="F1013" s="1" t="s">
        <v>38</v>
      </c>
      <c r="G1013" s="1" t="s">
        <v>43</v>
      </c>
      <c r="H1013" s="1">
        <v>1</v>
      </c>
      <c r="I1013" s="1">
        <v>1</v>
      </c>
      <c r="J1013" s="1">
        <v>1</v>
      </c>
      <c r="K1013" s="1">
        <v>1</v>
      </c>
      <c r="L1013" s="1">
        <v>1938.31</v>
      </c>
      <c r="M1013" s="1">
        <v>1</v>
      </c>
      <c r="N1013" s="1">
        <f t="shared" si="15"/>
        <v>1</v>
      </c>
      <c r="O1013" s="1">
        <v>0</v>
      </c>
      <c r="P1013" s="1">
        <v>9</v>
      </c>
      <c r="Q1013" s="1">
        <v>60.9</v>
      </c>
    </row>
    <row r="1014" spans="1:17">
      <c r="A1014" s="1" t="s">
        <v>1055</v>
      </c>
      <c r="B1014" s="4">
        <v>45691</v>
      </c>
      <c r="C1014" s="1" t="s">
        <v>2</v>
      </c>
      <c r="D1014" s="1" t="s">
        <v>45</v>
      </c>
      <c r="E1014" s="1" t="s">
        <v>32</v>
      </c>
      <c r="F1014" s="1" t="s">
        <v>54</v>
      </c>
      <c r="G1014" s="1" t="s">
        <v>39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f t="shared" si="15"/>
        <v>0</v>
      </c>
      <c r="O1014" s="1">
        <v>0</v>
      </c>
      <c r="P1014" s="1"/>
      <c r="Q1014" s="1">
        <v>45.5</v>
      </c>
    </row>
    <row r="1015" spans="1:17">
      <c r="A1015" s="1" t="s">
        <v>1056</v>
      </c>
      <c r="B1015" s="4">
        <v>45795</v>
      </c>
      <c r="C1015" s="1" t="s">
        <v>2</v>
      </c>
      <c r="D1015" s="1" t="s">
        <v>31</v>
      </c>
      <c r="E1015" s="1" t="s">
        <v>37</v>
      </c>
      <c r="F1015" s="1" t="s">
        <v>42</v>
      </c>
      <c r="G1015" s="1" t="s">
        <v>39</v>
      </c>
      <c r="H1015" s="1">
        <v>1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f t="shared" si="15"/>
        <v>0</v>
      </c>
      <c r="O1015" s="1">
        <v>0</v>
      </c>
      <c r="P1015" s="1"/>
      <c r="Q1015" s="1">
        <v>50</v>
      </c>
    </row>
    <row r="1016" spans="1:17">
      <c r="A1016" s="1" t="s">
        <v>1057</v>
      </c>
      <c r="B1016" s="4">
        <v>45688</v>
      </c>
      <c r="C1016" s="1" t="s">
        <v>2</v>
      </c>
      <c r="D1016" s="1" t="s">
        <v>31</v>
      </c>
      <c r="E1016" s="1" t="s">
        <v>37</v>
      </c>
      <c r="F1016" s="1" t="s">
        <v>52</v>
      </c>
      <c r="G1016" s="1" t="s">
        <v>39</v>
      </c>
      <c r="H1016" s="1">
        <v>1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f t="shared" si="15"/>
        <v>0</v>
      </c>
      <c r="O1016" s="1">
        <v>0</v>
      </c>
      <c r="P1016" s="1"/>
      <c r="Q1016" s="1">
        <v>72.099999999999994</v>
      </c>
    </row>
    <row r="1017" spans="1:17">
      <c r="A1017" s="1" t="s">
        <v>1058</v>
      </c>
      <c r="B1017" s="4">
        <v>45673</v>
      </c>
      <c r="C1017" s="1" t="s">
        <v>2</v>
      </c>
      <c r="D1017" s="1" t="s">
        <v>45</v>
      </c>
      <c r="E1017" s="1" t="s">
        <v>32</v>
      </c>
      <c r="F1017" s="1" t="s">
        <v>38</v>
      </c>
      <c r="G1017" s="1" t="s">
        <v>34</v>
      </c>
      <c r="H1017" s="1">
        <v>1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f t="shared" si="15"/>
        <v>0</v>
      </c>
      <c r="O1017" s="1">
        <v>0</v>
      </c>
      <c r="P1017" s="1"/>
      <c r="Q1017" s="1">
        <v>76.3</v>
      </c>
    </row>
    <row r="1018" spans="1:17">
      <c r="A1018" s="1" t="s">
        <v>1059</v>
      </c>
      <c r="B1018" s="4">
        <v>45791</v>
      </c>
      <c r="C1018" s="1" t="s">
        <v>2</v>
      </c>
      <c r="D1018" s="1" t="s">
        <v>41</v>
      </c>
      <c r="E1018" s="1" t="s">
        <v>37</v>
      </c>
      <c r="F1018" s="1" t="s">
        <v>42</v>
      </c>
      <c r="G1018" s="1" t="s">
        <v>34</v>
      </c>
      <c r="H1018" s="1">
        <v>1</v>
      </c>
      <c r="I1018" s="1">
        <v>1</v>
      </c>
      <c r="J1018" s="1">
        <v>0</v>
      </c>
      <c r="K1018" s="1">
        <v>0</v>
      </c>
      <c r="L1018" s="1">
        <v>0</v>
      </c>
      <c r="M1018" s="1">
        <v>1</v>
      </c>
      <c r="N1018" s="1">
        <f t="shared" si="15"/>
        <v>1</v>
      </c>
      <c r="O1018" s="1">
        <v>0</v>
      </c>
      <c r="P1018" s="1"/>
      <c r="Q1018" s="1">
        <v>54.8</v>
      </c>
    </row>
    <row r="1019" spans="1:17">
      <c r="A1019" s="1" t="s">
        <v>1060</v>
      </c>
      <c r="B1019" s="4">
        <v>45748</v>
      </c>
      <c r="C1019" s="1" t="s">
        <v>2</v>
      </c>
      <c r="D1019" s="1" t="s">
        <v>45</v>
      </c>
      <c r="E1019" s="1" t="s">
        <v>37</v>
      </c>
      <c r="F1019" s="1"/>
      <c r="G1019" s="1" t="s">
        <v>34</v>
      </c>
      <c r="H1019" s="1">
        <v>1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f t="shared" si="15"/>
        <v>0</v>
      </c>
      <c r="O1019" s="1">
        <v>0</v>
      </c>
      <c r="P1019" s="1"/>
      <c r="Q1019" s="1">
        <v>63.6</v>
      </c>
    </row>
    <row r="1020" spans="1:17">
      <c r="A1020" s="1" t="s">
        <v>1061</v>
      </c>
      <c r="B1020" s="4">
        <v>45770</v>
      </c>
      <c r="C1020" s="1" t="s">
        <v>2</v>
      </c>
      <c r="D1020" s="1" t="s">
        <v>45</v>
      </c>
      <c r="E1020" s="1" t="s">
        <v>37</v>
      </c>
      <c r="F1020" s="1" t="s">
        <v>38</v>
      </c>
      <c r="G1020" s="1" t="s">
        <v>39</v>
      </c>
      <c r="H1020" s="1">
        <v>1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f t="shared" si="15"/>
        <v>0</v>
      </c>
      <c r="O1020" s="1">
        <v>0</v>
      </c>
      <c r="P1020" s="1"/>
      <c r="Q1020" s="1">
        <v>68.8</v>
      </c>
    </row>
    <row r="1021" spans="1:17">
      <c r="A1021" s="1" t="s">
        <v>1062</v>
      </c>
      <c r="B1021" s="4">
        <v>45718</v>
      </c>
      <c r="C1021" s="1" t="s">
        <v>2</v>
      </c>
      <c r="D1021" s="1" t="s">
        <v>45</v>
      </c>
      <c r="E1021" s="1" t="s">
        <v>32</v>
      </c>
      <c r="F1021" s="1" t="s">
        <v>42</v>
      </c>
      <c r="G1021" s="1" t="s">
        <v>34</v>
      </c>
      <c r="H1021" s="1">
        <v>1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f t="shared" si="15"/>
        <v>0</v>
      </c>
      <c r="O1021" s="1">
        <v>0</v>
      </c>
      <c r="P1021" s="1"/>
      <c r="Q1021" s="1">
        <v>63.2</v>
      </c>
    </row>
    <row r="1022" spans="1:17">
      <c r="A1022" s="1" t="s">
        <v>1063</v>
      </c>
      <c r="B1022" s="4">
        <v>45659</v>
      </c>
      <c r="C1022" s="1" t="s">
        <v>2</v>
      </c>
      <c r="D1022" s="1" t="s">
        <v>41</v>
      </c>
      <c r="E1022" s="1" t="s">
        <v>37</v>
      </c>
      <c r="F1022" s="1" t="s">
        <v>42</v>
      </c>
      <c r="G1022" s="1" t="s">
        <v>34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f t="shared" si="15"/>
        <v>0</v>
      </c>
      <c r="O1022" s="1">
        <v>0</v>
      </c>
      <c r="P1022" s="1"/>
      <c r="Q1022" s="1">
        <v>45</v>
      </c>
    </row>
    <row r="1023" spans="1:17">
      <c r="A1023" s="1" t="s">
        <v>1064</v>
      </c>
      <c r="B1023" s="4">
        <v>45781</v>
      </c>
      <c r="C1023" s="1" t="s">
        <v>2</v>
      </c>
      <c r="D1023" s="1" t="s">
        <v>45</v>
      </c>
      <c r="E1023" s="1" t="s">
        <v>37</v>
      </c>
      <c r="F1023" s="1" t="s">
        <v>38</v>
      </c>
      <c r="G1023" s="1" t="s">
        <v>39</v>
      </c>
      <c r="H1023" s="1">
        <v>1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f t="shared" si="15"/>
        <v>0</v>
      </c>
      <c r="O1023" s="1">
        <v>0</v>
      </c>
      <c r="P1023" s="1"/>
      <c r="Q1023" s="1">
        <v>77.400000000000006</v>
      </c>
    </row>
    <row r="1024" spans="1:17">
      <c r="A1024" s="1" t="s">
        <v>1065</v>
      </c>
      <c r="B1024" s="4">
        <v>45673</v>
      </c>
      <c r="C1024" s="1" t="s">
        <v>2</v>
      </c>
      <c r="D1024" s="1" t="s">
        <v>41</v>
      </c>
      <c r="E1024" s="1" t="s">
        <v>32</v>
      </c>
      <c r="F1024" s="1" t="s">
        <v>42</v>
      </c>
      <c r="G1024" s="1" t="s">
        <v>34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f t="shared" si="15"/>
        <v>0</v>
      </c>
      <c r="O1024" s="1">
        <v>0</v>
      </c>
      <c r="P1024" s="1"/>
      <c r="Q1024" s="1">
        <v>53.1</v>
      </c>
    </row>
    <row r="1025" spans="1:17">
      <c r="A1025" s="1" t="s">
        <v>1066</v>
      </c>
      <c r="B1025" s="4">
        <v>45699</v>
      </c>
      <c r="C1025" s="1" t="s">
        <v>2</v>
      </c>
      <c r="D1025" s="1" t="s">
        <v>36</v>
      </c>
      <c r="E1025" s="1" t="s">
        <v>47</v>
      </c>
      <c r="F1025" s="1" t="s">
        <v>42</v>
      </c>
      <c r="G1025" s="1" t="s">
        <v>43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f t="shared" si="15"/>
        <v>0</v>
      </c>
      <c r="O1025" s="1">
        <v>0</v>
      </c>
      <c r="P1025" s="1"/>
      <c r="Q1025" s="1">
        <v>74</v>
      </c>
    </row>
    <row r="1026" spans="1:17">
      <c r="A1026" s="1" t="s">
        <v>1067</v>
      </c>
      <c r="B1026" s="4">
        <v>45750</v>
      </c>
      <c r="C1026" s="1" t="s">
        <v>2</v>
      </c>
      <c r="D1026" s="1" t="s">
        <v>31</v>
      </c>
      <c r="E1026" s="1" t="s">
        <v>37</v>
      </c>
      <c r="F1026" s="1" t="s">
        <v>54</v>
      </c>
      <c r="G1026" s="1" t="s">
        <v>43</v>
      </c>
      <c r="H1026" s="1">
        <v>1</v>
      </c>
      <c r="I1026" s="1">
        <v>1</v>
      </c>
      <c r="J1026" s="1">
        <v>1</v>
      </c>
      <c r="K1026" s="1">
        <v>1</v>
      </c>
      <c r="L1026" s="1">
        <v>1906.23</v>
      </c>
      <c r="M1026" s="1">
        <v>0</v>
      </c>
      <c r="N1026" s="1">
        <f t="shared" si="15"/>
        <v>0</v>
      </c>
      <c r="O1026" s="1">
        <v>0</v>
      </c>
      <c r="P1026" s="1">
        <v>4</v>
      </c>
      <c r="Q1026" s="1">
        <v>84.6</v>
      </c>
    </row>
    <row r="1027" spans="1:17">
      <c r="A1027" s="1" t="s">
        <v>1068</v>
      </c>
      <c r="B1027" s="4">
        <v>45742</v>
      </c>
      <c r="C1027" s="1" t="s">
        <v>2</v>
      </c>
      <c r="D1027" s="1" t="s">
        <v>41</v>
      </c>
      <c r="E1027" s="1" t="s">
        <v>37</v>
      </c>
      <c r="F1027" s="1" t="s">
        <v>52</v>
      </c>
      <c r="G1027" s="1" t="s">
        <v>39</v>
      </c>
      <c r="H1027" s="1">
        <v>1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f t="shared" ref="N1027:N1090" si="16">IF(M1027&gt;0,1,0)</f>
        <v>0</v>
      </c>
      <c r="O1027" s="1">
        <v>0</v>
      </c>
      <c r="P1027" s="1"/>
      <c r="Q1027" s="1">
        <v>57</v>
      </c>
    </row>
    <row r="1028" spans="1:17">
      <c r="A1028" s="1" t="s">
        <v>1069</v>
      </c>
      <c r="B1028" s="4">
        <v>45793</v>
      </c>
      <c r="C1028" s="1" t="s">
        <v>2</v>
      </c>
      <c r="D1028" s="1" t="s">
        <v>45</v>
      </c>
      <c r="E1028" s="1" t="s">
        <v>37</v>
      </c>
      <c r="F1028" s="1" t="s">
        <v>33</v>
      </c>
      <c r="G1028" s="1" t="s">
        <v>43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f t="shared" si="16"/>
        <v>0</v>
      </c>
      <c r="O1028" s="1">
        <v>0</v>
      </c>
      <c r="P1028" s="1"/>
      <c r="Q1028" s="1">
        <v>46.3</v>
      </c>
    </row>
    <row r="1029" spans="1:17">
      <c r="A1029" s="1" t="s">
        <v>1070</v>
      </c>
      <c r="B1029" s="4">
        <v>45767</v>
      </c>
      <c r="C1029" s="1" t="s">
        <v>2</v>
      </c>
      <c r="D1029" s="1" t="s">
        <v>36</v>
      </c>
      <c r="E1029" s="1" t="s">
        <v>37</v>
      </c>
      <c r="F1029" s="1" t="s">
        <v>54</v>
      </c>
      <c r="G1029" s="1" t="s">
        <v>39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1</v>
      </c>
      <c r="N1029" s="1">
        <f t="shared" si="16"/>
        <v>1</v>
      </c>
      <c r="O1029" s="1">
        <v>0</v>
      </c>
      <c r="P1029" s="1"/>
      <c r="Q1029" s="1">
        <v>64.400000000000006</v>
      </c>
    </row>
    <row r="1030" spans="1:17">
      <c r="A1030" s="1" t="s">
        <v>1071</v>
      </c>
      <c r="B1030" s="4">
        <v>45762</v>
      </c>
      <c r="C1030" s="1" t="s">
        <v>2</v>
      </c>
      <c r="D1030" s="1" t="s">
        <v>36</v>
      </c>
      <c r="E1030" s="1" t="s">
        <v>37</v>
      </c>
      <c r="F1030" s="1" t="s">
        <v>42</v>
      </c>
      <c r="G1030" s="1" t="s">
        <v>39</v>
      </c>
      <c r="H1030" s="1">
        <v>1</v>
      </c>
      <c r="I1030" s="1">
        <v>0</v>
      </c>
      <c r="J1030" s="1">
        <v>0</v>
      </c>
      <c r="K1030" s="1">
        <v>0</v>
      </c>
      <c r="L1030" s="1">
        <v>0</v>
      </c>
      <c r="M1030" s="1">
        <v>2</v>
      </c>
      <c r="N1030" s="1">
        <f t="shared" si="16"/>
        <v>1</v>
      </c>
      <c r="O1030" s="1">
        <v>0</v>
      </c>
      <c r="P1030" s="1"/>
      <c r="Q1030" s="1">
        <v>61.9</v>
      </c>
    </row>
    <row r="1031" spans="1:17">
      <c r="A1031" s="1" t="s">
        <v>1072</v>
      </c>
      <c r="B1031" s="4">
        <v>45681</v>
      </c>
      <c r="C1031" s="1" t="s">
        <v>2</v>
      </c>
      <c r="D1031" s="1" t="s">
        <v>31</v>
      </c>
      <c r="E1031" s="1" t="s">
        <v>37</v>
      </c>
      <c r="F1031" s="1" t="s">
        <v>38</v>
      </c>
      <c r="G1031" s="1" t="s">
        <v>43</v>
      </c>
      <c r="H1031" s="1">
        <v>1</v>
      </c>
      <c r="I1031" s="1">
        <v>1</v>
      </c>
      <c r="J1031" s="1">
        <v>1</v>
      </c>
      <c r="K1031" s="1">
        <v>0</v>
      </c>
      <c r="L1031" s="1">
        <v>0</v>
      </c>
      <c r="M1031" s="1">
        <v>0</v>
      </c>
      <c r="N1031" s="1">
        <f t="shared" si="16"/>
        <v>0</v>
      </c>
      <c r="O1031" s="1">
        <v>0</v>
      </c>
      <c r="P1031" s="1"/>
      <c r="Q1031" s="1">
        <v>93.7</v>
      </c>
    </row>
    <row r="1032" spans="1:17">
      <c r="A1032" s="1" t="s">
        <v>1073</v>
      </c>
      <c r="B1032" s="4">
        <v>45758</v>
      </c>
      <c r="C1032" s="1" t="s">
        <v>2</v>
      </c>
      <c r="D1032" s="1" t="s">
        <v>45</v>
      </c>
      <c r="E1032" s="1" t="s">
        <v>37</v>
      </c>
      <c r="F1032" s="1" t="s">
        <v>52</v>
      </c>
      <c r="G1032" s="1" t="s">
        <v>34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f t="shared" si="16"/>
        <v>0</v>
      </c>
      <c r="O1032" s="1">
        <v>0</v>
      </c>
      <c r="P1032" s="1"/>
      <c r="Q1032" s="1">
        <v>61.6</v>
      </c>
    </row>
    <row r="1033" spans="1:17">
      <c r="A1033" s="1" t="s">
        <v>1074</v>
      </c>
      <c r="B1033" s="4">
        <v>45796</v>
      </c>
      <c r="C1033" s="1" t="s">
        <v>2</v>
      </c>
      <c r="D1033" s="1" t="s">
        <v>31</v>
      </c>
      <c r="E1033" s="1" t="s">
        <v>37</v>
      </c>
      <c r="F1033" s="1" t="s">
        <v>42</v>
      </c>
      <c r="G1033" s="1" t="s">
        <v>39</v>
      </c>
      <c r="H1033" s="1">
        <v>1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f t="shared" si="16"/>
        <v>0</v>
      </c>
      <c r="O1033" s="1">
        <v>0</v>
      </c>
      <c r="P1033" s="1"/>
      <c r="Q1033" s="1">
        <v>72.2</v>
      </c>
    </row>
    <row r="1034" spans="1:17">
      <c r="A1034" s="1" t="s">
        <v>1075</v>
      </c>
      <c r="B1034" s="4">
        <v>45671</v>
      </c>
      <c r="C1034" s="1" t="s">
        <v>2</v>
      </c>
      <c r="D1034" s="1" t="s">
        <v>31</v>
      </c>
      <c r="E1034" s="1" t="s">
        <v>37</v>
      </c>
      <c r="F1034" s="1" t="s">
        <v>38</v>
      </c>
      <c r="G1034" s="1" t="s">
        <v>34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f t="shared" si="16"/>
        <v>0</v>
      </c>
      <c r="O1034" s="1">
        <v>0</v>
      </c>
      <c r="P1034" s="1"/>
      <c r="Q1034" s="1">
        <v>69.5</v>
      </c>
    </row>
    <row r="1035" spans="1:17">
      <c r="A1035" s="1" t="s">
        <v>1076</v>
      </c>
      <c r="B1035" s="4">
        <v>45716</v>
      </c>
      <c r="C1035" s="1" t="s">
        <v>2</v>
      </c>
      <c r="D1035" s="1" t="s">
        <v>41</v>
      </c>
      <c r="E1035" s="1" t="s">
        <v>32</v>
      </c>
      <c r="F1035" s="1" t="s">
        <v>38</v>
      </c>
      <c r="G1035" s="1" t="s">
        <v>34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f t="shared" si="16"/>
        <v>0</v>
      </c>
      <c r="O1035" s="1">
        <v>0</v>
      </c>
      <c r="P1035" s="1"/>
      <c r="Q1035" s="1">
        <v>59.7</v>
      </c>
    </row>
    <row r="1036" spans="1:17">
      <c r="A1036" s="1" t="s">
        <v>1077</v>
      </c>
      <c r="B1036" s="4">
        <v>45795</v>
      </c>
      <c r="C1036" s="1" t="s">
        <v>2</v>
      </c>
      <c r="D1036" s="1" t="s">
        <v>41</v>
      </c>
      <c r="E1036" s="1" t="s">
        <v>47</v>
      </c>
      <c r="F1036" s="1" t="s">
        <v>42</v>
      </c>
      <c r="G1036" s="1" t="s">
        <v>34</v>
      </c>
      <c r="H1036" s="1">
        <v>1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f t="shared" si="16"/>
        <v>0</v>
      </c>
      <c r="O1036" s="1">
        <v>0</v>
      </c>
      <c r="P1036" s="1"/>
      <c r="Q1036" s="1">
        <v>73.900000000000006</v>
      </c>
    </row>
    <row r="1037" spans="1:17">
      <c r="A1037" s="1" t="s">
        <v>1078</v>
      </c>
      <c r="B1037" s="4">
        <v>45661</v>
      </c>
      <c r="C1037" s="1" t="s">
        <v>2</v>
      </c>
      <c r="D1037" s="1" t="s">
        <v>31</v>
      </c>
      <c r="E1037" s="1" t="s">
        <v>37</v>
      </c>
      <c r="F1037" s="1" t="s">
        <v>54</v>
      </c>
      <c r="G1037" s="1" t="s">
        <v>39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f t="shared" si="16"/>
        <v>0</v>
      </c>
      <c r="O1037" s="1">
        <v>0</v>
      </c>
      <c r="P1037" s="1"/>
      <c r="Q1037" s="1">
        <v>41.5</v>
      </c>
    </row>
    <row r="1038" spans="1:17">
      <c r="A1038" s="1" t="s">
        <v>1079</v>
      </c>
      <c r="B1038" s="4">
        <v>45673</v>
      </c>
      <c r="C1038" s="1" t="s">
        <v>2</v>
      </c>
      <c r="D1038" s="1" t="s">
        <v>36</v>
      </c>
      <c r="E1038" s="1" t="s">
        <v>37</v>
      </c>
      <c r="F1038" s="1" t="s">
        <v>54</v>
      </c>
      <c r="G1038" s="1" t="s">
        <v>43</v>
      </c>
      <c r="H1038" s="1">
        <v>1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f t="shared" si="16"/>
        <v>0</v>
      </c>
      <c r="O1038" s="1">
        <v>0</v>
      </c>
      <c r="P1038" s="1"/>
      <c r="Q1038" s="1">
        <v>82.8</v>
      </c>
    </row>
    <row r="1039" spans="1:17">
      <c r="A1039" s="1" t="s">
        <v>1080</v>
      </c>
      <c r="B1039" s="4">
        <v>45730</v>
      </c>
      <c r="C1039" s="1" t="s">
        <v>2</v>
      </c>
      <c r="D1039" s="1" t="s">
        <v>36</v>
      </c>
      <c r="E1039" s="1" t="s">
        <v>37</v>
      </c>
      <c r="F1039" s="1" t="s">
        <v>54</v>
      </c>
      <c r="G1039" s="1" t="s">
        <v>43</v>
      </c>
      <c r="H1039" s="1">
        <v>1</v>
      </c>
      <c r="I1039" s="1">
        <v>0</v>
      </c>
      <c r="J1039" s="1">
        <v>0</v>
      </c>
      <c r="K1039" s="1">
        <v>0</v>
      </c>
      <c r="L1039" s="1">
        <v>0</v>
      </c>
      <c r="M1039" s="1">
        <v>3</v>
      </c>
      <c r="N1039" s="1">
        <f t="shared" si="16"/>
        <v>1</v>
      </c>
      <c r="O1039" s="1">
        <v>0</v>
      </c>
      <c r="P1039" s="1"/>
      <c r="Q1039" s="1">
        <v>70.2</v>
      </c>
    </row>
    <row r="1040" spans="1:17">
      <c r="A1040" s="1" t="s">
        <v>1081</v>
      </c>
      <c r="B1040" s="4">
        <v>45680</v>
      </c>
      <c r="C1040" s="1" t="s">
        <v>2</v>
      </c>
      <c r="D1040" s="1" t="s">
        <v>41</v>
      </c>
      <c r="E1040" s="1" t="s">
        <v>37</v>
      </c>
      <c r="F1040" s="1" t="s">
        <v>42</v>
      </c>
      <c r="G1040" s="1" t="s">
        <v>34</v>
      </c>
      <c r="H1040" s="1">
        <v>1</v>
      </c>
      <c r="I1040" s="1">
        <v>0</v>
      </c>
      <c r="J1040" s="1">
        <v>0</v>
      </c>
      <c r="K1040" s="1">
        <v>0</v>
      </c>
      <c r="L1040" s="1">
        <v>0</v>
      </c>
      <c r="M1040" s="1">
        <v>1</v>
      </c>
      <c r="N1040" s="1">
        <f t="shared" si="16"/>
        <v>1</v>
      </c>
      <c r="O1040" s="1">
        <v>0</v>
      </c>
      <c r="P1040" s="1"/>
      <c r="Q1040" s="1">
        <v>69.400000000000006</v>
      </c>
    </row>
    <row r="1041" spans="1:17">
      <c r="A1041" s="1" t="s">
        <v>1082</v>
      </c>
      <c r="B1041" s="4">
        <v>45691</v>
      </c>
      <c r="C1041" s="1" t="s">
        <v>2</v>
      </c>
      <c r="D1041" s="1" t="s">
        <v>31</v>
      </c>
      <c r="E1041" s="1" t="s">
        <v>32</v>
      </c>
      <c r="F1041" s="1" t="s">
        <v>38</v>
      </c>
      <c r="G1041" s="1" t="s">
        <v>34</v>
      </c>
      <c r="H1041" s="1">
        <v>1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f t="shared" si="16"/>
        <v>0</v>
      </c>
      <c r="O1041" s="1">
        <v>0</v>
      </c>
      <c r="P1041" s="1"/>
      <c r="Q1041" s="1">
        <v>60.4</v>
      </c>
    </row>
    <row r="1042" spans="1:17">
      <c r="A1042" s="1" t="s">
        <v>1083</v>
      </c>
      <c r="B1042" s="4">
        <v>45793</v>
      </c>
      <c r="C1042" s="1" t="s">
        <v>2</v>
      </c>
      <c r="D1042" s="1" t="s">
        <v>41</v>
      </c>
      <c r="E1042" s="1" t="s">
        <v>37</v>
      </c>
      <c r="F1042" s="1" t="s">
        <v>52</v>
      </c>
      <c r="G1042" s="1" t="s">
        <v>39</v>
      </c>
      <c r="H1042" s="1">
        <v>1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f t="shared" si="16"/>
        <v>0</v>
      </c>
      <c r="O1042" s="1">
        <v>0</v>
      </c>
      <c r="P1042" s="1"/>
      <c r="Q1042" s="1">
        <v>45.7</v>
      </c>
    </row>
    <row r="1043" spans="1:17">
      <c r="A1043" s="1" t="s">
        <v>1084</v>
      </c>
      <c r="B1043" s="4">
        <v>45668</v>
      </c>
      <c r="C1043" s="1" t="s">
        <v>2</v>
      </c>
      <c r="D1043" s="1" t="s">
        <v>36</v>
      </c>
      <c r="E1043" s="1" t="s">
        <v>37</v>
      </c>
      <c r="F1043" s="1" t="s">
        <v>38</v>
      </c>
      <c r="G1043" s="1" t="s">
        <v>34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1</v>
      </c>
      <c r="N1043" s="1">
        <f t="shared" si="16"/>
        <v>1</v>
      </c>
      <c r="O1043" s="1">
        <v>0</v>
      </c>
      <c r="P1043" s="1"/>
      <c r="Q1043" s="1">
        <v>42.2</v>
      </c>
    </row>
    <row r="1044" spans="1:17">
      <c r="A1044" s="1" t="s">
        <v>1085</v>
      </c>
      <c r="B1044" s="4">
        <v>45802</v>
      </c>
      <c r="C1044" s="1" t="s">
        <v>2</v>
      </c>
      <c r="D1044" s="1" t="s">
        <v>31</v>
      </c>
      <c r="E1044" s="1" t="s">
        <v>32</v>
      </c>
      <c r="F1044" s="1" t="s">
        <v>38</v>
      </c>
      <c r="G1044" s="1" t="s">
        <v>39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2</v>
      </c>
      <c r="N1044" s="1">
        <f t="shared" si="16"/>
        <v>1</v>
      </c>
      <c r="O1044" s="1">
        <v>0</v>
      </c>
      <c r="P1044" s="1"/>
      <c r="Q1044" s="1">
        <v>61.9</v>
      </c>
    </row>
    <row r="1045" spans="1:17">
      <c r="A1045" s="1" t="s">
        <v>1086</v>
      </c>
      <c r="B1045" s="4">
        <v>45785</v>
      </c>
      <c r="C1045" s="1" t="s">
        <v>2</v>
      </c>
      <c r="D1045" s="1" t="s">
        <v>41</v>
      </c>
      <c r="E1045" s="1" t="s">
        <v>37</v>
      </c>
      <c r="F1045" s="1" t="s">
        <v>42</v>
      </c>
      <c r="G1045" s="1" t="s">
        <v>43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f t="shared" si="16"/>
        <v>0</v>
      </c>
      <c r="O1045" s="1">
        <v>0</v>
      </c>
      <c r="P1045" s="1"/>
      <c r="Q1045" s="1">
        <v>44.9</v>
      </c>
    </row>
    <row r="1046" spans="1:17">
      <c r="A1046" s="1" t="s">
        <v>1087</v>
      </c>
      <c r="B1046" s="4">
        <v>45714</v>
      </c>
      <c r="C1046" s="1" t="s">
        <v>2</v>
      </c>
      <c r="D1046" s="1" t="s">
        <v>41</v>
      </c>
      <c r="E1046" s="1" t="s">
        <v>32</v>
      </c>
      <c r="F1046" s="1"/>
      <c r="G1046" s="1" t="s">
        <v>34</v>
      </c>
      <c r="H1046" s="1">
        <v>1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f t="shared" si="16"/>
        <v>0</v>
      </c>
      <c r="O1046" s="1">
        <v>0</v>
      </c>
      <c r="P1046" s="1"/>
      <c r="Q1046" s="1">
        <v>68</v>
      </c>
    </row>
    <row r="1047" spans="1:17">
      <c r="A1047" s="1" t="s">
        <v>1088</v>
      </c>
      <c r="B1047" s="4">
        <v>45746</v>
      </c>
      <c r="C1047" s="1" t="s">
        <v>2</v>
      </c>
      <c r="D1047" s="1" t="s">
        <v>31</v>
      </c>
      <c r="E1047" s="1" t="s">
        <v>37</v>
      </c>
      <c r="F1047" s="1" t="s">
        <v>42</v>
      </c>
      <c r="G1047" s="1" t="s">
        <v>39</v>
      </c>
      <c r="H1047" s="1">
        <v>1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f t="shared" si="16"/>
        <v>0</v>
      </c>
      <c r="O1047" s="1">
        <v>0</v>
      </c>
      <c r="P1047" s="1"/>
      <c r="Q1047" s="1">
        <v>61</v>
      </c>
    </row>
    <row r="1048" spans="1:17">
      <c r="A1048" s="1" t="s">
        <v>1089</v>
      </c>
      <c r="B1048" s="4">
        <v>45760</v>
      </c>
      <c r="C1048" s="1" t="s">
        <v>2</v>
      </c>
      <c r="D1048" s="1" t="s">
        <v>36</v>
      </c>
      <c r="E1048" s="1" t="s">
        <v>37</v>
      </c>
      <c r="F1048" s="1" t="s">
        <v>38</v>
      </c>
      <c r="G1048" s="1" t="s">
        <v>34</v>
      </c>
      <c r="H1048" s="1">
        <v>1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f t="shared" si="16"/>
        <v>0</v>
      </c>
      <c r="O1048" s="1">
        <v>0</v>
      </c>
      <c r="P1048" s="1"/>
      <c r="Q1048" s="1">
        <v>55</v>
      </c>
    </row>
    <row r="1049" spans="1:17">
      <c r="A1049" s="1" t="s">
        <v>1090</v>
      </c>
      <c r="B1049" s="4">
        <v>45708</v>
      </c>
      <c r="C1049" s="1" t="s">
        <v>2</v>
      </c>
      <c r="D1049" s="1" t="s">
        <v>41</v>
      </c>
      <c r="E1049" s="1"/>
      <c r="F1049" s="1" t="s">
        <v>42</v>
      </c>
      <c r="G1049" s="1" t="s">
        <v>34</v>
      </c>
      <c r="H1049" s="1">
        <v>1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f t="shared" si="16"/>
        <v>0</v>
      </c>
      <c r="O1049" s="1">
        <v>0</v>
      </c>
      <c r="P1049" s="1"/>
      <c r="Q1049" s="1">
        <v>63.1</v>
      </c>
    </row>
    <row r="1050" spans="1:17">
      <c r="A1050" s="1" t="s">
        <v>1091</v>
      </c>
      <c r="B1050" s="4">
        <v>45766</v>
      </c>
      <c r="C1050" s="1" t="s">
        <v>2</v>
      </c>
      <c r="D1050" s="1" t="s">
        <v>36</v>
      </c>
      <c r="E1050" s="1" t="s">
        <v>32</v>
      </c>
      <c r="F1050" s="1" t="s">
        <v>54</v>
      </c>
      <c r="G1050" s="1" t="s">
        <v>39</v>
      </c>
      <c r="H1050" s="1">
        <v>1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f t="shared" si="16"/>
        <v>0</v>
      </c>
      <c r="O1050" s="1">
        <v>0</v>
      </c>
      <c r="P1050" s="1"/>
      <c r="Q1050" s="1">
        <v>75.8</v>
      </c>
    </row>
    <row r="1051" spans="1:17">
      <c r="A1051" s="1" t="s">
        <v>1092</v>
      </c>
      <c r="B1051" s="4">
        <v>45738</v>
      </c>
      <c r="C1051" s="1" t="s">
        <v>2</v>
      </c>
      <c r="D1051" s="1" t="s">
        <v>45</v>
      </c>
      <c r="E1051" s="1" t="s">
        <v>37</v>
      </c>
      <c r="F1051" s="1" t="s">
        <v>42</v>
      </c>
      <c r="G1051" s="1" t="s">
        <v>39</v>
      </c>
      <c r="H1051" s="1">
        <v>1</v>
      </c>
      <c r="I1051" s="1">
        <v>1</v>
      </c>
      <c r="J1051" s="1">
        <v>0</v>
      </c>
      <c r="K1051" s="1">
        <v>0</v>
      </c>
      <c r="L1051" s="1">
        <v>0</v>
      </c>
      <c r="M1051" s="1">
        <v>1</v>
      </c>
      <c r="N1051" s="1">
        <f t="shared" si="16"/>
        <v>1</v>
      </c>
      <c r="O1051" s="1">
        <v>0</v>
      </c>
      <c r="P1051" s="1"/>
      <c r="Q1051" s="1">
        <v>43.8</v>
      </c>
    </row>
    <row r="1052" spans="1:17">
      <c r="A1052" s="1" t="s">
        <v>1093</v>
      </c>
      <c r="B1052" s="4">
        <v>45716</v>
      </c>
      <c r="C1052" s="1" t="s">
        <v>2</v>
      </c>
      <c r="D1052" s="1" t="s">
        <v>31</v>
      </c>
      <c r="E1052" s="1" t="s">
        <v>37</v>
      </c>
      <c r="F1052" s="1" t="s">
        <v>33</v>
      </c>
      <c r="G1052" s="1" t="s">
        <v>34</v>
      </c>
      <c r="H1052" s="1">
        <v>1</v>
      </c>
      <c r="I1052" s="1">
        <v>1</v>
      </c>
      <c r="J1052" s="1">
        <v>0</v>
      </c>
      <c r="K1052" s="1">
        <v>0</v>
      </c>
      <c r="L1052" s="1">
        <v>0</v>
      </c>
      <c r="M1052" s="1">
        <v>0</v>
      </c>
      <c r="N1052" s="1">
        <f t="shared" si="16"/>
        <v>0</v>
      </c>
      <c r="O1052" s="1">
        <v>0</v>
      </c>
      <c r="P1052" s="1"/>
      <c r="Q1052" s="1">
        <v>46.8</v>
      </c>
    </row>
    <row r="1053" spans="1:17">
      <c r="A1053" s="1" t="s">
        <v>1094</v>
      </c>
      <c r="B1053" s="4">
        <v>45801</v>
      </c>
      <c r="C1053" s="1" t="s">
        <v>2</v>
      </c>
      <c r="D1053" s="1" t="s">
        <v>41</v>
      </c>
      <c r="E1053" s="1" t="s">
        <v>37</v>
      </c>
      <c r="F1053" s="1" t="s">
        <v>54</v>
      </c>
      <c r="G1053" s="1" t="s">
        <v>39</v>
      </c>
      <c r="H1053" s="1">
        <v>1</v>
      </c>
      <c r="I1053" s="1">
        <v>1</v>
      </c>
      <c r="J1053" s="1">
        <v>1</v>
      </c>
      <c r="K1053" s="1">
        <v>0</v>
      </c>
      <c r="L1053" s="1">
        <v>0</v>
      </c>
      <c r="M1053" s="1">
        <v>0</v>
      </c>
      <c r="N1053" s="1">
        <f t="shared" si="16"/>
        <v>0</v>
      </c>
      <c r="O1053" s="1">
        <v>0</v>
      </c>
      <c r="P1053" s="1"/>
      <c r="Q1053" s="1">
        <v>97.4</v>
      </c>
    </row>
    <row r="1054" spans="1:17">
      <c r="A1054" s="1" t="s">
        <v>1095</v>
      </c>
      <c r="B1054" s="4">
        <v>45691</v>
      </c>
      <c r="C1054" s="1" t="s">
        <v>2</v>
      </c>
      <c r="D1054" s="1" t="s">
        <v>31</v>
      </c>
      <c r="E1054" s="1" t="s">
        <v>32</v>
      </c>
      <c r="F1054" s="1" t="s">
        <v>33</v>
      </c>
      <c r="G1054" s="1" t="s">
        <v>39</v>
      </c>
      <c r="H1054" s="1">
        <v>1</v>
      </c>
      <c r="I1054" s="1">
        <v>1</v>
      </c>
      <c r="J1054" s="1">
        <v>1</v>
      </c>
      <c r="K1054" s="1">
        <v>1</v>
      </c>
      <c r="L1054" s="1">
        <v>268.95999999999998</v>
      </c>
      <c r="M1054" s="1">
        <v>0</v>
      </c>
      <c r="N1054" s="1">
        <f t="shared" si="16"/>
        <v>0</v>
      </c>
      <c r="O1054" s="1">
        <v>0</v>
      </c>
      <c r="P1054" s="1">
        <v>14</v>
      </c>
      <c r="Q1054" s="1">
        <v>81</v>
      </c>
    </row>
    <row r="1055" spans="1:17">
      <c r="A1055" s="1" t="s">
        <v>1096</v>
      </c>
      <c r="B1055" s="4">
        <v>45684</v>
      </c>
      <c r="C1055" s="1" t="s">
        <v>2</v>
      </c>
      <c r="D1055" s="1" t="s">
        <v>45</v>
      </c>
      <c r="E1055" s="1" t="s">
        <v>37</v>
      </c>
      <c r="F1055" s="1" t="s">
        <v>38</v>
      </c>
      <c r="G1055" s="1" t="s">
        <v>39</v>
      </c>
      <c r="H1055" s="1">
        <v>1</v>
      </c>
      <c r="I1055" s="1">
        <v>0</v>
      </c>
      <c r="J1055" s="1">
        <v>0</v>
      </c>
      <c r="K1055" s="1">
        <v>0</v>
      </c>
      <c r="L1055" s="1">
        <v>0</v>
      </c>
      <c r="M1055" s="1">
        <v>1</v>
      </c>
      <c r="N1055" s="1">
        <f t="shared" si="16"/>
        <v>1</v>
      </c>
      <c r="O1055" s="1">
        <v>0</v>
      </c>
      <c r="P1055" s="1"/>
      <c r="Q1055" s="1">
        <v>58.9</v>
      </c>
    </row>
    <row r="1056" spans="1:17">
      <c r="A1056" s="1" t="s">
        <v>1097</v>
      </c>
      <c r="B1056" s="4">
        <v>45764</v>
      </c>
      <c r="C1056" s="1" t="s">
        <v>2</v>
      </c>
      <c r="D1056" s="1" t="s">
        <v>41</v>
      </c>
      <c r="E1056" s="1" t="s">
        <v>37</v>
      </c>
      <c r="F1056" s="1" t="s">
        <v>38</v>
      </c>
      <c r="G1056" s="1" t="s">
        <v>39</v>
      </c>
      <c r="H1056" s="1">
        <v>1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f t="shared" si="16"/>
        <v>0</v>
      </c>
      <c r="O1056" s="1">
        <v>0</v>
      </c>
      <c r="P1056" s="1"/>
      <c r="Q1056" s="1">
        <v>51.9</v>
      </c>
    </row>
    <row r="1057" spans="1:17">
      <c r="A1057" s="1" t="s">
        <v>1098</v>
      </c>
      <c r="B1057" s="4">
        <v>45694</v>
      </c>
      <c r="C1057" s="1" t="s">
        <v>2</v>
      </c>
      <c r="D1057" s="1" t="s">
        <v>36</v>
      </c>
      <c r="E1057" s="1" t="s">
        <v>37</v>
      </c>
      <c r="F1057" s="1" t="s">
        <v>54</v>
      </c>
      <c r="G1057" s="1" t="s">
        <v>39</v>
      </c>
      <c r="H1057" s="1">
        <v>1</v>
      </c>
      <c r="I1057" s="1">
        <v>1</v>
      </c>
      <c r="J1057" s="1">
        <v>0</v>
      </c>
      <c r="K1057" s="1">
        <v>0</v>
      </c>
      <c r="L1057" s="1">
        <v>0</v>
      </c>
      <c r="M1057" s="1">
        <v>0</v>
      </c>
      <c r="N1057" s="1">
        <f t="shared" si="16"/>
        <v>0</v>
      </c>
      <c r="O1057" s="1">
        <v>0</v>
      </c>
      <c r="P1057" s="1"/>
      <c r="Q1057" s="1">
        <v>61.7</v>
      </c>
    </row>
    <row r="1058" spans="1:17">
      <c r="A1058" s="1" t="s">
        <v>1099</v>
      </c>
      <c r="B1058" s="4">
        <v>45767</v>
      </c>
      <c r="C1058" s="1" t="s">
        <v>2</v>
      </c>
      <c r="D1058" s="1" t="s">
        <v>45</v>
      </c>
      <c r="E1058" s="1" t="s">
        <v>37</v>
      </c>
      <c r="F1058" s="1" t="s">
        <v>42</v>
      </c>
      <c r="G1058" s="1" t="s">
        <v>39</v>
      </c>
      <c r="H1058" s="1">
        <v>1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f t="shared" si="16"/>
        <v>0</v>
      </c>
      <c r="O1058" s="1">
        <v>0</v>
      </c>
      <c r="P1058" s="1"/>
      <c r="Q1058" s="1">
        <v>44.7</v>
      </c>
    </row>
    <row r="1059" spans="1:17">
      <c r="A1059" s="1" t="s">
        <v>1100</v>
      </c>
      <c r="B1059" s="4">
        <v>45783</v>
      </c>
      <c r="C1059" s="1" t="s">
        <v>2</v>
      </c>
      <c r="D1059" s="1" t="s">
        <v>31</v>
      </c>
      <c r="E1059" s="1" t="s">
        <v>37</v>
      </c>
      <c r="F1059" s="1" t="s">
        <v>42</v>
      </c>
      <c r="G1059" s="1" t="s">
        <v>34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f t="shared" si="16"/>
        <v>0</v>
      </c>
      <c r="O1059" s="1">
        <v>0</v>
      </c>
      <c r="P1059" s="1"/>
      <c r="Q1059" s="1">
        <v>63.2</v>
      </c>
    </row>
    <row r="1060" spans="1:17">
      <c r="A1060" s="1" t="s">
        <v>1101</v>
      </c>
      <c r="B1060" s="4">
        <v>45799</v>
      </c>
      <c r="C1060" s="1" t="s">
        <v>1</v>
      </c>
      <c r="D1060" s="1" t="s">
        <v>31</v>
      </c>
      <c r="E1060" s="1" t="s">
        <v>37</v>
      </c>
      <c r="F1060" s="1" t="s">
        <v>42</v>
      </c>
      <c r="G1060" s="1" t="s">
        <v>34</v>
      </c>
      <c r="H1060" s="1">
        <v>1</v>
      </c>
      <c r="I1060" s="1">
        <v>1</v>
      </c>
      <c r="J1060" s="1">
        <v>0</v>
      </c>
      <c r="K1060" s="1">
        <v>0</v>
      </c>
      <c r="L1060" s="1">
        <v>0</v>
      </c>
      <c r="M1060" s="1">
        <v>0</v>
      </c>
      <c r="N1060" s="1">
        <f t="shared" si="16"/>
        <v>0</v>
      </c>
      <c r="O1060" s="1">
        <v>0</v>
      </c>
      <c r="P1060" s="1"/>
      <c r="Q1060" s="1">
        <v>39.9</v>
      </c>
    </row>
    <row r="1061" spans="1:17">
      <c r="A1061" s="1" t="s">
        <v>1102</v>
      </c>
      <c r="B1061" s="4">
        <v>45718</v>
      </c>
      <c r="C1061" s="1" t="s">
        <v>2</v>
      </c>
      <c r="D1061" s="1" t="s">
        <v>45</v>
      </c>
      <c r="E1061" s="1" t="s">
        <v>37</v>
      </c>
      <c r="F1061" s="1" t="s">
        <v>42</v>
      </c>
      <c r="G1061" s="1" t="s">
        <v>43</v>
      </c>
      <c r="H1061" s="1">
        <v>1</v>
      </c>
      <c r="I1061" s="1">
        <v>1</v>
      </c>
      <c r="J1061" s="1">
        <v>0</v>
      </c>
      <c r="K1061" s="1">
        <v>0</v>
      </c>
      <c r="L1061" s="1">
        <v>0</v>
      </c>
      <c r="M1061" s="1">
        <v>1</v>
      </c>
      <c r="N1061" s="1">
        <f t="shared" si="16"/>
        <v>1</v>
      </c>
      <c r="O1061" s="1">
        <v>0</v>
      </c>
      <c r="P1061" s="1"/>
      <c r="Q1061" s="1">
        <v>83.1</v>
      </c>
    </row>
    <row r="1062" spans="1:17">
      <c r="A1062" s="1" t="s">
        <v>1103</v>
      </c>
      <c r="B1062" s="4">
        <v>45756</v>
      </c>
      <c r="C1062" s="1" t="s">
        <v>2</v>
      </c>
      <c r="D1062" s="1" t="s">
        <v>36</v>
      </c>
      <c r="E1062" s="1" t="s">
        <v>37</v>
      </c>
      <c r="F1062" s="1" t="s">
        <v>54</v>
      </c>
      <c r="G1062" s="1" t="s">
        <v>39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f t="shared" si="16"/>
        <v>0</v>
      </c>
      <c r="O1062" s="1">
        <v>0</v>
      </c>
      <c r="P1062" s="1"/>
      <c r="Q1062" s="1">
        <v>50.3</v>
      </c>
    </row>
    <row r="1063" spans="1:17">
      <c r="A1063" s="1" t="s">
        <v>1104</v>
      </c>
      <c r="B1063" s="4">
        <v>45683</v>
      </c>
      <c r="C1063" s="1" t="s">
        <v>2</v>
      </c>
      <c r="D1063" s="1" t="s">
        <v>41</v>
      </c>
      <c r="E1063" s="1" t="s">
        <v>37</v>
      </c>
      <c r="F1063" s="1" t="s">
        <v>42</v>
      </c>
      <c r="G1063" s="1" t="s">
        <v>39</v>
      </c>
      <c r="H1063" s="1">
        <v>1</v>
      </c>
      <c r="I1063" s="1">
        <v>1</v>
      </c>
      <c r="J1063" s="1">
        <v>1</v>
      </c>
      <c r="K1063" s="1">
        <v>1</v>
      </c>
      <c r="L1063" s="1">
        <v>437.09</v>
      </c>
      <c r="M1063" s="1">
        <v>2</v>
      </c>
      <c r="N1063" s="1">
        <f t="shared" si="16"/>
        <v>1</v>
      </c>
      <c r="O1063" s="1">
        <v>1</v>
      </c>
      <c r="P1063" s="1">
        <v>1</v>
      </c>
      <c r="Q1063" s="1">
        <v>58.2</v>
      </c>
    </row>
    <row r="1064" spans="1:17">
      <c r="A1064" s="1" t="s">
        <v>1105</v>
      </c>
      <c r="B1064" s="4">
        <v>45713</v>
      </c>
      <c r="C1064" s="1" t="s">
        <v>2</v>
      </c>
      <c r="D1064" s="1" t="s">
        <v>45</v>
      </c>
      <c r="E1064" s="1" t="s">
        <v>37</v>
      </c>
      <c r="F1064" s="1" t="s">
        <v>42</v>
      </c>
      <c r="G1064" s="1" t="s">
        <v>34</v>
      </c>
      <c r="H1064" s="1">
        <v>1</v>
      </c>
      <c r="I1064" s="1">
        <v>1</v>
      </c>
      <c r="J1064" s="1">
        <v>1</v>
      </c>
      <c r="K1064" s="1">
        <v>0</v>
      </c>
      <c r="L1064" s="1">
        <v>0</v>
      </c>
      <c r="M1064" s="1">
        <v>0</v>
      </c>
      <c r="N1064" s="1">
        <f t="shared" si="16"/>
        <v>0</v>
      </c>
      <c r="O1064" s="1">
        <v>0</v>
      </c>
      <c r="P1064" s="1"/>
      <c r="Q1064" s="1">
        <v>53.2</v>
      </c>
    </row>
    <row r="1065" spans="1:17">
      <c r="A1065" s="1" t="s">
        <v>1106</v>
      </c>
      <c r="B1065" s="4">
        <v>45664</v>
      </c>
      <c r="C1065" s="1" t="s">
        <v>2</v>
      </c>
      <c r="D1065" s="1" t="s">
        <v>41</v>
      </c>
      <c r="E1065" s="1" t="s">
        <v>37</v>
      </c>
      <c r="F1065" s="1" t="s">
        <v>38</v>
      </c>
      <c r="G1065" s="1" t="s">
        <v>43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f t="shared" si="16"/>
        <v>0</v>
      </c>
      <c r="O1065" s="1">
        <v>0</v>
      </c>
      <c r="P1065" s="1"/>
      <c r="Q1065" s="1">
        <v>36.4</v>
      </c>
    </row>
    <row r="1066" spans="1:17">
      <c r="A1066" s="1" t="s">
        <v>1107</v>
      </c>
      <c r="B1066" s="4">
        <v>45724</v>
      </c>
      <c r="C1066" s="1" t="s">
        <v>2</v>
      </c>
      <c r="D1066" s="1" t="s">
        <v>45</v>
      </c>
      <c r="E1066" s="1" t="s">
        <v>37</v>
      </c>
      <c r="F1066" s="1" t="s">
        <v>54</v>
      </c>
      <c r="G1066" s="1" t="s">
        <v>34</v>
      </c>
      <c r="H1066" s="1">
        <v>1</v>
      </c>
      <c r="I1066" s="1">
        <v>1</v>
      </c>
      <c r="J1066" s="1">
        <v>1</v>
      </c>
      <c r="K1066" s="1">
        <v>0</v>
      </c>
      <c r="L1066" s="1">
        <v>0</v>
      </c>
      <c r="M1066" s="1">
        <v>0</v>
      </c>
      <c r="N1066" s="1">
        <f t="shared" si="16"/>
        <v>0</v>
      </c>
      <c r="O1066" s="1">
        <v>0</v>
      </c>
      <c r="P1066" s="1"/>
      <c r="Q1066" s="1">
        <v>72.7</v>
      </c>
    </row>
    <row r="1067" spans="1:17">
      <c r="A1067" s="1" t="s">
        <v>1108</v>
      </c>
      <c r="B1067" s="4">
        <v>45799</v>
      </c>
      <c r="C1067" s="1" t="s">
        <v>2</v>
      </c>
      <c r="D1067" s="1" t="s">
        <v>41</v>
      </c>
      <c r="E1067" s="1" t="s">
        <v>37</v>
      </c>
      <c r="F1067" s="1" t="s">
        <v>52</v>
      </c>
      <c r="G1067" s="1" t="s">
        <v>39</v>
      </c>
      <c r="H1067" s="1">
        <v>1</v>
      </c>
      <c r="I1067" s="1">
        <v>0</v>
      </c>
      <c r="J1067" s="1">
        <v>0</v>
      </c>
      <c r="K1067" s="1">
        <v>0</v>
      </c>
      <c r="L1067" s="1">
        <v>0</v>
      </c>
      <c r="M1067" s="1">
        <v>1</v>
      </c>
      <c r="N1067" s="1">
        <f t="shared" si="16"/>
        <v>1</v>
      </c>
      <c r="O1067" s="1">
        <v>0</v>
      </c>
      <c r="P1067" s="1"/>
      <c r="Q1067" s="1">
        <v>86.7</v>
      </c>
    </row>
    <row r="1068" spans="1:17">
      <c r="A1068" s="1" t="s">
        <v>1109</v>
      </c>
      <c r="B1068" s="4">
        <v>45765</v>
      </c>
      <c r="C1068" s="1" t="s">
        <v>2</v>
      </c>
      <c r="D1068" s="1" t="s">
        <v>41</v>
      </c>
      <c r="E1068" s="1" t="s">
        <v>37</v>
      </c>
      <c r="F1068" s="1" t="s">
        <v>42</v>
      </c>
      <c r="G1068" s="1" t="s">
        <v>43</v>
      </c>
      <c r="H1068" s="1">
        <v>1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f t="shared" si="16"/>
        <v>0</v>
      </c>
      <c r="O1068" s="1">
        <v>0</v>
      </c>
      <c r="P1068" s="1"/>
      <c r="Q1068" s="1">
        <v>48.2</v>
      </c>
    </row>
    <row r="1069" spans="1:17">
      <c r="A1069" s="1" t="s">
        <v>1110</v>
      </c>
      <c r="B1069" s="4">
        <v>45712</v>
      </c>
      <c r="C1069" s="1" t="s">
        <v>2</v>
      </c>
      <c r="D1069" s="1" t="s">
        <v>36</v>
      </c>
      <c r="E1069" s="1" t="s">
        <v>37</v>
      </c>
      <c r="F1069" s="1" t="s">
        <v>52</v>
      </c>
      <c r="G1069" s="1" t="s">
        <v>34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1</v>
      </c>
      <c r="N1069" s="1">
        <f t="shared" si="16"/>
        <v>1</v>
      </c>
      <c r="O1069" s="1">
        <v>0</v>
      </c>
      <c r="P1069" s="1"/>
      <c r="Q1069" s="1">
        <v>57.6</v>
      </c>
    </row>
    <row r="1070" spans="1:17">
      <c r="A1070" s="1" t="s">
        <v>1111</v>
      </c>
      <c r="B1070" s="4">
        <v>45699</v>
      </c>
      <c r="C1070" s="1" t="s">
        <v>2</v>
      </c>
      <c r="D1070" s="1" t="s">
        <v>31</v>
      </c>
      <c r="E1070" s="1" t="s">
        <v>37</v>
      </c>
      <c r="F1070" s="1" t="s">
        <v>38</v>
      </c>
      <c r="G1070" s="1" t="s">
        <v>39</v>
      </c>
      <c r="H1070" s="1">
        <v>1</v>
      </c>
      <c r="I1070" s="1">
        <v>1</v>
      </c>
      <c r="J1070" s="1">
        <v>1</v>
      </c>
      <c r="K1070" s="1">
        <v>0</v>
      </c>
      <c r="L1070" s="1">
        <v>0</v>
      </c>
      <c r="M1070" s="1">
        <v>0</v>
      </c>
      <c r="N1070" s="1">
        <f t="shared" si="16"/>
        <v>0</v>
      </c>
      <c r="O1070" s="1">
        <v>0</v>
      </c>
      <c r="P1070" s="1"/>
      <c r="Q1070" s="1">
        <v>75.7</v>
      </c>
    </row>
    <row r="1071" spans="1:17">
      <c r="A1071" s="1" t="s">
        <v>1112</v>
      </c>
      <c r="B1071" s="4">
        <v>45727</v>
      </c>
      <c r="C1071" s="1" t="s">
        <v>2</v>
      </c>
      <c r="D1071" s="1" t="s">
        <v>36</v>
      </c>
      <c r="E1071" s="1" t="s">
        <v>32</v>
      </c>
      <c r="F1071" s="1" t="s">
        <v>42</v>
      </c>
      <c r="G1071" s="1" t="s">
        <v>39</v>
      </c>
      <c r="H1071" s="1">
        <v>1</v>
      </c>
      <c r="I1071" s="1">
        <v>0</v>
      </c>
      <c r="J1071" s="1">
        <v>0</v>
      </c>
      <c r="K1071" s="1">
        <v>0</v>
      </c>
      <c r="L1071" s="1">
        <v>0</v>
      </c>
      <c r="M1071" s="1">
        <v>2</v>
      </c>
      <c r="N1071" s="1">
        <f t="shared" si="16"/>
        <v>1</v>
      </c>
      <c r="O1071" s="1">
        <v>0</v>
      </c>
      <c r="P1071" s="1"/>
      <c r="Q1071" s="1">
        <v>48.6</v>
      </c>
    </row>
    <row r="1072" spans="1:17">
      <c r="A1072" s="1" t="s">
        <v>1113</v>
      </c>
      <c r="B1072" s="4">
        <v>45758</v>
      </c>
      <c r="C1072" s="1" t="s">
        <v>2</v>
      </c>
      <c r="D1072" s="1" t="s">
        <v>41</v>
      </c>
      <c r="E1072" s="1" t="s">
        <v>47</v>
      </c>
      <c r="F1072" s="1" t="s">
        <v>52</v>
      </c>
      <c r="G1072" s="1" t="s">
        <v>39</v>
      </c>
      <c r="H1072" s="1">
        <v>1</v>
      </c>
      <c r="I1072" s="1">
        <v>1</v>
      </c>
      <c r="J1072" s="1">
        <v>1</v>
      </c>
      <c r="K1072" s="1">
        <v>0</v>
      </c>
      <c r="L1072" s="1">
        <v>0</v>
      </c>
      <c r="M1072" s="1">
        <v>0</v>
      </c>
      <c r="N1072" s="1">
        <f t="shared" si="16"/>
        <v>0</v>
      </c>
      <c r="O1072" s="1">
        <v>0</v>
      </c>
      <c r="P1072" s="1"/>
      <c r="Q1072" s="1">
        <v>72</v>
      </c>
    </row>
    <row r="1073" spans="1:17">
      <c r="A1073" s="1" t="s">
        <v>1114</v>
      </c>
      <c r="B1073" s="4">
        <v>45727</v>
      </c>
      <c r="C1073" s="1" t="s">
        <v>2</v>
      </c>
      <c r="D1073" s="1" t="s">
        <v>31</v>
      </c>
      <c r="E1073" s="1" t="s">
        <v>37</v>
      </c>
      <c r="F1073" s="1" t="s">
        <v>38</v>
      </c>
      <c r="G1073" s="1" t="s">
        <v>39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f t="shared" si="16"/>
        <v>0</v>
      </c>
      <c r="O1073" s="1">
        <v>0</v>
      </c>
      <c r="P1073" s="1"/>
      <c r="Q1073" s="1">
        <v>72.2</v>
      </c>
    </row>
    <row r="1074" spans="1:17">
      <c r="A1074" s="1" t="s">
        <v>1115</v>
      </c>
      <c r="B1074" s="4">
        <v>45799</v>
      </c>
      <c r="C1074" s="1" t="s">
        <v>2</v>
      </c>
      <c r="D1074" s="1" t="s">
        <v>41</v>
      </c>
      <c r="E1074" s="1" t="s">
        <v>37</v>
      </c>
      <c r="F1074" s="1" t="s">
        <v>52</v>
      </c>
      <c r="G1074" s="1" t="s">
        <v>39</v>
      </c>
      <c r="H1074" s="1">
        <v>1</v>
      </c>
      <c r="I1074" s="1">
        <v>0</v>
      </c>
      <c r="J1074" s="1">
        <v>0</v>
      </c>
      <c r="K1074" s="1">
        <v>0</v>
      </c>
      <c r="L1074" s="1">
        <v>0</v>
      </c>
      <c r="M1074" s="1">
        <v>1</v>
      </c>
      <c r="N1074" s="1">
        <f t="shared" si="16"/>
        <v>1</v>
      </c>
      <c r="O1074" s="1">
        <v>0</v>
      </c>
      <c r="P1074" s="1"/>
      <c r="Q1074" s="1"/>
    </row>
    <row r="1075" spans="1:17">
      <c r="A1075" s="1" t="s">
        <v>1116</v>
      </c>
      <c r="B1075" s="4">
        <v>45710</v>
      </c>
      <c r="C1075" s="1" t="s">
        <v>2</v>
      </c>
      <c r="D1075" s="1" t="s">
        <v>45</v>
      </c>
      <c r="E1075" s="1" t="s">
        <v>32</v>
      </c>
      <c r="F1075" s="1" t="s">
        <v>38</v>
      </c>
      <c r="G1075" s="1" t="s">
        <v>39</v>
      </c>
      <c r="H1075" s="1">
        <v>1</v>
      </c>
      <c r="I1075" s="1">
        <v>1</v>
      </c>
      <c r="J1075" s="1">
        <v>1</v>
      </c>
      <c r="K1075" s="1">
        <v>1</v>
      </c>
      <c r="L1075" s="1">
        <v>331.53</v>
      </c>
      <c r="M1075" s="1">
        <v>2</v>
      </c>
      <c r="N1075" s="1">
        <f t="shared" si="16"/>
        <v>1</v>
      </c>
      <c r="O1075" s="1">
        <v>0</v>
      </c>
      <c r="P1075" s="1">
        <v>4</v>
      </c>
      <c r="Q1075" s="1">
        <v>56.8</v>
      </c>
    </row>
    <row r="1076" spans="1:17">
      <c r="A1076" s="1" t="s">
        <v>1117</v>
      </c>
      <c r="B1076" s="4">
        <v>45670</v>
      </c>
      <c r="C1076" s="1" t="s">
        <v>2</v>
      </c>
      <c r="D1076" s="1" t="s">
        <v>41</v>
      </c>
      <c r="E1076" s="1" t="s">
        <v>37</v>
      </c>
      <c r="F1076" s="1" t="s">
        <v>42</v>
      </c>
      <c r="G1076" s="1" t="s">
        <v>34</v>
      </c>
      <c r="H1076" s="1">
        <v>1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f t="shared" si="16"/>
        <v>0</v>
      </c>
      <c r="O1076" s="1">
        <v>0</v>
      </c>
      <c r="P1076" s="1"/>
      <c r="Q1076" s="1">
        <v>62.5</v>
      </c>
    </row>
    <row r="1077" spans="1:17">
      <c r="A1077" s="1" t="s">
        <v>1118</v>
      </c>
      <c r="B1077" s="4">
        <v>45796</v>
      </c>
      <c r="C1077" s="1" t="s">
        <v>2</v>
      </c>
      <c r="D1077" s="1" t="s">
        <v>45</v>
      </c>
      <c r="E1077" s="1" t="s">
        <v>37</v>
      </c>
      <c r="F1077" s="1" t="s">
        <v>38</v>
      </c>
      <c r="G1077" s="1" t="s">
        <v>39</v>
      </c>
      <c r="H1077" s="1">
        <v>1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f t="shared" si="16"/>
        <v>0</v>
      </c>
      <c r="O1077" s="1">
        <v>0</v>
      </c>
      <c r="P1077" s="1"/>
      <c r="Q1077" s="1">
        <v>63.4</v>
      </c>
    </row>
    <row r="1078" spans="1:17">
      <c r="A1078" s="1" t="s">
        <v>1119</v>
      </c>
      <c r="B1078" s="4">
        <v>45724</v>
      </c>
      <c r="C1078" s="1" t="s">
        <v>2</v>
      </c>
      <c r="D1078" s="1" t="s">
        <v>31</v>
      </c>
      <c r="E1078" s="1" t="s">
        <v>47</v>
      </c>
      <c r="F1078" s="1" t="s">
        <v>38</v>
      </c>
      <c r="G1078" s="1" t="s">
        <v>34</v>
      </c>
      <c r="H1078" s="1">
        <v>1</v>
      </c>
      <c r="I1078" s="1">
        <v>1</v>
      </c>
      <c r="J1078" s="1">
        <v>1</v>
      </c>
      <c r="K1078" s="1">
        <v>1</v>
      </c>
      <c r="L1078" s="1">
        <v>774.78</v>
      </c>
      <c r="M1078" s="1">
        <v>0</v>
      </c>
      <c r="N1078" s="1">
        <f t="shared" si="16"/>
        <v>0</v>
      </c>
      <c r="O1078" s="1">
        <v>0</v>
      </c>
      <c r="P1078" s="1">
        <v>3</v>
      </c>
      <c r="Q1078" s="1">
        <v>46.8</v>
      </c>
    </row>
    <row r="1079" spans="1:17">
      <c r="A1079" s="1" t="s">
        <v>1120</v>
      </c>
      <c r="B1079" s="4">
        <v>45767</v>
      </c>
      <c r="C1079" s="1" t="s">
        <v>2</v>
      </c>
      <c r="D1079" s="1" t="s">
        <v>45</v>
      </c>
      <c r="E1079" s="1" t="s">
        <v>37</v>
      </c>
      <c r="F1079" s="1" t="s">
        <v>38</v>
      </c>
      <c r="G1079" s="1" t="s">
        <v>39</v>
      </c>
      <c r="H1079" s="1">
        <v>1</v>
      </c>
      <c r="I1079" s="1">
        <v>1</v>
      </c>
      <c r="J1079" s="1">
        <v>1</v>
      </c>
      <c r="K1079" s="1">
        <v>1</v>
      </c>
      <c r="L1079" s="1">
        <v>422.02</v>
      </c>
      <c r="M1079" s="1">
        <v>0</v>
      </c>
      <c r="N1079" s="1">
        <f t="shared" si="16"/>
        <v>0</v>
      </c>
      <c r="O1079" s="1">
        <v>0</v>
      </c>
      <c r="P1079" s="1">
        <v>8</v>
      </c>
      <c r="Q1079" s="1">
        <v>86.5</v>
      </c>
    </row>
    <row r="1080" spans="1:17">
      <c r="A1080" s="1" t="s">
        <v>1121</v>
      </c>
      <c r="B1080" s="4">
        <v>45785</v>
      </c>
      <c r="C1080" s="1" t="s">
        <v>2</v>
      </c>
      <c r="D1080" s="1" t="s">
        <v>36</v>
      </c>
      <c r="E1080" s="1" t="s">
        <v>37</v>
      </c>
      <c r="F1080" s="1" t="s">
        <v>33</v>
      </c>
      <c r="G1080" s="1" t="s">
        <v>34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1</v>
      </c>
      <c r="N1080" s="1">
        <f t="shared" si="16"/>
        <v>1</v>
      </c>
      <c r="O1080" s="1">
        <v>0</v>
      </c>
      <c r="P1080" s="1"/>
      <c r="Q1080" s="1">
        <v>75.099999999999994</v>
      </c>
    </row>
    <row r="1081" spans="1:17">
      <c r="A1081" s="1" t="s">
        <v>1122</v>
      </c>
      <c r="B1081" s="4">
        <v>45787</v>
      </c>
      <c r="C1081" s="1" t="s">
        <v>2</v>
      </c>
      <c r="D1081" s="1" t="s">
        <v>45</v>
      </c>
      <c r="E1081" s="1" t="s">
        <v>37</v>
      </c>
      <c r="F1081" s="1" t="s">
        <v>38</v>
      </c>
      <c r="G1081" s="1" t="s">
        <v>34</v>
      </c>
      <c r="H1081" s="1">
        <v>1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f t="shared" si="16"/>
        <v>0</v>
      </c>
      <c r="O1081" s="1">
        <v>0</v>
      </c>
      <c r="P1081" s="1"/>
      <c r="Q1081" s="1">
        <v>64.5</v>
      </c>
    </row>
    <row r="1082" spans="1:17">
      <c r="A1082" s="1" t="s">
        <v>1123</v>
      </c>
      <c r="B1082" s="4">
        <v>45744</v>
      </c>
      <c r="C1082" s="1" t="s">
        <v>2</v>
      </c>
      <c r="D1082" s="1" t="s">
        <v>41</v>
      </c>
      <c r="E1082" s="1" t="s">
        <v>37</v>
      </c>
      <c r="F1082" s="1" t="s">
        <v>38</v>
      </c>
      <c r="G1082" s="1" t="s">
        <v>39</v>
      </c>
      <c r="H1082" s="1">
        <v>1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f t="shared" si="16"/>
        <v>0</v>
      </c>
      <c r="O1082" s="1">
        <v>0</v>
      </c>
      <c r="P1082" s="1"/>
      <c r="Q1082" s="1">
        <v>54.2</v>
      </c>
    </row>
    <row r="1083" spans="1:17">
      <c r="A1083" s="1" t="s">
        <v>1124</v>
      </c>
      <c r="B1083" s="4">
        <v>45777</v>
      </c>
      <c r="C1083" s="1" t="s">
        <v>2</v>
      </c>
      <c r="D1083" s="1" t="s">
        <v>41</v>
      </c>
      <c r="E1083" s="1" t="s">
        <v>37</v>
      </c>
      <c r="F1083" s="1" t="s">
        <v>42</v>
      </c>
      <c r="G1083" s="1" t="s">
        <v>43</v>
      </c>
      <c r="H1083" s="1">
        <v>1</v>
      </c>
      <c r="I1083" s="1">
        <v>1</v>
      </c>
      <c r="J1083" s="1">
        <v>1</v>
      </c>
      <c r="K1083" s="1">
        <v>0</v>
      </c>
      <c r="L1083" s="1">
        <v>0</v>
      </c>
      <c r="M1083" s="1">
        <v>0</v>
      </c>
      <c r="N1083" s="1">
        <f t="shared" si="16"/>
        <v>0</v>
      </c>
      <c r="O1083" s="1">
        <v>0</v>
      </c>
      <c r="P1083" s="1"/>
      <c r="Q1083" s="1">
        <v>84.1</v>
      </c>
    </row>
    <row r="1084" spans="1:17">
      <c r="A1084" s="1" t="s">
        <v>1125</v>
      </c>
      <c r="B1084" s="4">
        <v>45696</v>
      </c>
      <c r="C1084" s="1" t="s">
        <v>2</v>
      </c>
      <c r="D1084" s="1" t="s">
        <v>31</v>
      </c>
      <c r="E1084" s="1" t="s">
        <v>37</v>
      </c>
      <c r="F1084" s="1" t="s">
        <v>38</v>
      </c>
      <c r="G1084" s="1" t="s">
        <v>34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1</v>
      </c>
      <c r="N1084" s="1">
        <f t="shared" si="16"/>
        <v>1</v>
      </c>
      <c r="O1084" s="1">
        <v>0</v>
      </c>
      <c r="P1084" s="1"/>
      <c r="Q1084" s="1">
        <v>49.1</v>
      </c>
    </row>
    <row r="1085" spans="1:17">
      <c r="A1085" s="1" t="s">
        <v>1126</v>
      </c>
      <c r="B1085" s="4">
        <v>45723</v>
      </c>
      <c r="C1085" s="1" t="s">
        <v>2</v>
      </c>
      <c r="D1085" s="1" t="s">
        <v>45</v>
      </c>
      <c r="E1085" s="1" t="s">
        <v>37</v>
      </c>
      <c r="F1085" s="1" t="s">
        <v>52</v>
      </c>
      <c r="G1085" s="1" t="s">
        <v>43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f t="shared" si="16"/>
        <v>0</v>
      </c>
      <c r="O1085" s="1">
        <v>0</v>
      </c>
      <c r="P1085" s="1"/>
      <c r="Q1085" s="1">
        <v>92.7</v>
      </c>
    </row>
    <row r="1086" spans="1:17">
      <c r="A1086" s="1" t="s">
        <v>1127</v>
      </c>
      <c r="B1086" s="4">
        <v>45798</v>
      </c>
      <c r="C1086" s="1" t="s">
        <v>2</v>
      </c>
      <c r="D1086" s="1" t="s">
        <v>45</v>
      </c>
      <c r="E1086" s="1" t="s">
        <v>37</v>
      </c>
      <c r="F1086" s="1" t="s">
        <v>54</v>
      </c>
      <c r="G1086" s="1" t="s">
        <v>34</v>
      </c>
      <c r="H1086" s="1">
        <v>1</v>
      </c>
      <c r="I1086" s="1">
        <v>1</v>
      </c>
      <c r="J1086" s="1">
        <v>1</v>
      </c>
      <c r="K1086" s="1">
        <v>0</v>
      </c>
      <c r="L1086" s="1">
        <v>0</v>
      </c>
      <c r="M1086" s="1">
        <v>1</v>
      </c>
      <c r="N1086" s="1">
        <f t="shared" si="16"/>
        <v>1</v>
      </c>
      <c r="O1086" s="1">
        <v>0</v>
      </c>
      <c r="P1086" s="1"/>
      <c r="Q1086" s="1">
        <v>58.7</v>
      </c>
    </row>
    <row r="1087" spans="1:17">
      <c r="A1087" s="1" t="s">
        <v>1128</v>
      </c>
      <c r="B1087" s="4">
        <v>45759</v>
      </c>
      <c r="C1087" s="1" t="s">
        <v>2</v>
      </c>
      <c r="D1087" s="1" t="s">
        <v>45</v>
      </c>
      <c r="E1087" s="1" t="s">
        <v>37</v>
      </c>
      <c r="F1087" s="1" t="s">
        <v>54</v>
      </c>
      <c r="G1087" s="1" t="s">
        <v>39</v>
      </c>
      <c r="H1087" s="1">
        <v>1</v>
      </c>
      <c r="I1087" s="1">
        <v>1</v>
      </c>
      <c r="J1087" s="1">
        <v>1</v>
      </c>
      <c r="K1087" s="1">
        <v>0</v>
      </c>
      <c r="L1087" s="1">
        <v>0</v>
      </c>
      <c r="M1087" s="1">
        <v>0</v>
      </c>
      <c r="N1087" s="1">
        <f t="shared" si="16"/>
        <v>0</v>
      </c>
      <c r="O1087" s="1">
        <v>0</v>
      </c>
      <c r="P1087" s="1"/>
      <c r="Q1087" s="1">
        <v>59.3</v>
      </c>
    </row>
    <row r="1088" spans="1:17">
      <c r="A1088" s="1" t="s">
        <v>1129</v>
      </c>
      <c r="B1088" s="4">
        <v>45690</v>
      </c>
      <c r="C1088" s="1" t="s">
        <v>2</v>
      </c>
      <c r="D1088" s="1" t="s">
        <v>45</v>
      </c>
      <c r="E1088" s="1" t="s">
        <v>37</v>
      </c>
      <c r="F1088" s="1" t="s">
        <v>42</v>
      </c>
      <c r="G1088" s="1" t="s">
        <v>39</v>
      </c>
      <c r="H1088" s="1">
        <v>1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f t="shared" si="16"/>
        <v>0</v>
      </c>
      <c r="O1088" s="1">
        <v>0</v>
      </c>
      <c r="P1088" s="1"/>
      <c r="Q1088" s="1">
        <v>62</v>
      </c>
    </row>
    <row r="1089" spans="1:17">
      <c r="A1089" s="1" t="s">
        <v>1130</v>
      </c>
      <c r="B1089" s="4">
        <v>45769</v>
      </c>
      <c r="C1089" s="1" t="s">
        <v>2</v>
      </c>
      <c r="D1089" s="1" t="s">
        <v>31</v>
      </c>
      <c r="E1089" s="1" t="s">
        <v>47</v>
      </c>
      <c r="F1089" s="1" t="s">
        <v>52</v>
      </c>
      <c r="G1089" s="1" t="s">
        <v>39</v>
      </c>
      <c r="H1089" s="1">
        <v>1</v>
      </c>
      <c r="I1089" s="1">
        <v>1</v>
      </c>
      <c r="J1089" s="1">
        <v>1</v>
      </c>
      <c r="K1089" s="1">
        <v>0</v>
      </c>
      <c r="L1089" s="1">
        <v>0</v>
      </c>
      <c r="M1089" s="1">
        <v>1</v>
      </c>
      <c r="N1089" s="1">
        <f t="shared" si="16"/>
        <v>1</v>
      </c>
      <c r="O1089" s="1">
        <v>0</v>
      </c>
      <c r="P1089" s="1"/>
      <c r="Q1089" s="1">
        <v>60.3</v>
      </c>
    </row>
    <row r="1090" spans="1:17">
      <c r="A1090" s="1" t="s">
        <v>1131</v>
      </c>
      <c r="B1090" s="4">
        <v>45696</v>
      </c>
      <c r="C1090" s="1" t="s">
        <v>2</v>
      </c>
      <c r="D1090" s="1" t="s">
        <v>31</v>
      </c>
      <c r="E1090" s="1" t="s">
        <v>37</v>
      </c>
      <c r="F1090" s="1" t="s">
        <v>54</v>
      </c>
      <c r="G1090" s="1" t="s">
        <v>34</v>
      </c>
      <c r="H1090" s="1">
        <v>1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f t="shared" si="16"/>
        <v>0</v>
      </c>
      <c r="O1090" s="1">
        <v>0</v>
      </c>
      <c r="P1090" s="1"/>
      <c r="Q1090" s="1">
        <v>70.5</v>
      </c>
    </row>
    <row r="1091" spans="1:17">
      <c r="A1091" s="1" t="s">
        <v>1132</v>
      </c>
      <c r="B1091" s="4">
        <v>45681</v>
      </c>
      <c r="C1091" s="1" t="s">
        <v>2</v>
      </c>
      <c r="D1091" s="1" t="s">
        <v>45</v>
      </c>
      <c r="E1091" s="1" t="s">
        <v>32</v>
      </c>
      <c r="F1091" s="1" t="s">
        <v>33</v>
      </c>
      <c r="G1091" s="1" t="s">
        <v>39</v>
      </c>
      <c r="H1091" s="1">
        <v>1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f t="shared" ref="N1091:N1154" si="17">IF(M1091&gt;0,1,0)</f>
        <v>0</v>
      </c>
      <c r="O1091" s="1">
        <v>0</v>
      </c>
      <c r="P1091" s="1"/>
      <c r="Q1091" s="1">
        <v>36.799999999999997</v>
      </c>
    </row>
    <row r="1092" spans="1:17">
      <c r="A1092" s="1" t="s">
        <v>1133</v>
      </c>
      <c r="B1092" s="4">
        <v>45789</v>
      </c>
      <c r="C1092" s="1" t="s">
        <v>2</v>
      </c>
      <c r="D1092" s="1" t="s">
        <v>45</v>
      </c>
      <c r="E1092" s="1" t="s">
        <v>37</v>
      </c>
      <c r="F1092" s="1" t="s">
        <v>42</v>
      </c>
      <c r="G1092" s="1" t="s">
        <v>34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1</v>
      </c>
      <c r="N1092" s="1">
        <f t="shared" si="17"/>
        <v>1</v>
      </c>
      <c r="O1092" s="1">
        <v>0</v>
      </c>
      <c r="P1092" s="1"/>
      <c r="Q1092" s="1">
        <v>73.2</v>
      </c>
    </row>
    <row r="1093" spans="1:17">
      <c r="A1093" s="1" t="s">
        <v>1134</v>
      </c>
      <c r="B1093" s="4">
        <v>45746</v>
      </c>
      <c r="C1093" s="1" t="s">
        <v>2</v>
      </c>
      <c r="D1093" s="1" t="s">
        <v>31</v>
      </c>
      <c r="E1093" s="1" t="s">
        <v>37</v>
      </c>
      <c r="F1093" s="1" t="s">
        <v>38</v>
      </c>
      <c r="G1093" s="1" t="s">
        <v>34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f t="shared" si="17"/>
        <v>0</v>
      </c>
      <c r="O1093" s="1">
        <v>0</v>
      </c>
      <c r="P1093" s="1"/>
      <c r="Q1093" s="1">
        <v>70.099999999999994</v>
      </c>
    </row>
    <row r="1094" spans="1:17">
      <c r="A1094" s="1" t="s">
        <v>1135</v>
      </c>
      <c r="B1094" s="4">
        <v>45659</v>
      </c>
      <c r="C1094" s="1" t="s">
        <v>2</v>
      </c>
      <c r="D1094" s="1" t="s">
        <v>45</v>
      </c>
      <c r="E1094" s="1" t="s">
        <v>32</v>
      </c>
      <c r="F1094" s="1" t="s">
        <v>42</v>
      </c>
      <c r="G1094" s="1" t="s">
        <v>34</v>
      </c>
      <c r="H1094" s="1">
        <v>1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f t="shared" si="17"/>
        <v>0</v>
      </c>
      <c r="O1094" s="1">
        <v>0</v>
      </c>
      <c r="P1094" s="1"/>
      <c r="Q1094" s="1">
        <v>76.400000000000006</v>
      </c>
    </row>
    <row r="1095" spans="1:17">
      <c r="A1095" s="1" t="s">
        <v>1136</v>
      </c>
      <c r="B1095" s="4">
        <v>45737</v>
      </c>
      <c r="C1095" s="1" t="s">
        <v>2</v>
      </c>
      <c r="D1095" s="1" t="s">
        <v>45</v>
      </c>
      <c r="E1095" s="1" t="s">
        <v>47</v>
      </c>
      <c r="F1095" s="1" t="s">
        <v>33</v>
      </c>
      <c r="G1095" s="1" t="s">
        <v>34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f t="shared" si="17"/>
        <v>0</v>
      </c>
      <c r="O1095" s="1">
        <v>0</v>
      </c>
      <c r="P1095" s="1"/>
      <c r="Q1095" s="1">
        <v>46.4</v>
      </c>
    </row>
    <row r="1096" spans="1:17">
      <c r="A1096" s="1" t="s">
        <v>1137</v>
      </c>
      <c r="B1096" s="4">
        <v>45682</v>
      </c>
      <c r="C1096" s="1" t="s">
        <v>2</v>
      </c>
      <c r="D1096" s="1" t="s">
        <v>36</v>
      </c>
      <c r="E1096" s="1" t="s">
        <v>37</v>
      </c>
      <c r="F1096" s="1" t="s">
        <v>38</v>
      </c>
      <c r="G1096" s="1" t="s">
        <v>39</v>
      </c>
      <c r="H1096" s="1">
        <v>1</v>
      </c>
      <c r="I1096" s="1">
        <v>1</v>
      </c>
      <c r="J1096" s="1">
        <v>1</v>
      </c>
      <c r="K1096" s="1">
        <v>0</v>
      </c>
      <c r="L1096" s="1">
        <v>0</v>
      </c>
      <c r="M1096" s="1">
        <v>1</v>
      </c>
      <c r="N1096" s="1">
        <f t="shared" si="17"/>
        <v>1</v>
      </c>
      <c r="O1096" s="1">
        <v>0</v>
      </c>
      <c r="P1096" s="1"/>
      <c r="Q1096" s="1">
        <v>81.3</v>
      </c>
    </row>
    <row r="1097" spans="1:17">
      <c r="A1097" s="1" t="s">
        <v>1138</v>
      </c>
      <c r="B1097" s="4">
        <v>45669</v>
      </c>
      <c r="C1097" s="1" t="s">
        <v>2</v>
      </c>
      <c r="D1097" s="1" t="s">
        <v>45</v>
      </c>
      <c r="E1097" s="1" t="s">
        <v>47</v>
      </c>
      <c r="F1097" s="1" t="s">
        <v>54</v>
      </c>
      <c r="G1097" s="1" t="s">
        <v>39</v>
      </c>
      <c r="H1097" s="1">
        <v>1</v>
      </c>
      <c r="I1097" s="1">
        <v>1</v>
      </c>
      <c r="J1097" s="1">
        <v>1</v>
      </c>
      <c r="K1097" s="1">
        <v>0</v>
      </c>
      <c r="L1097" s="1">
        <v>0</v>
      </c>
      <c r="M1097" s="1">
        <v>0</v>
      </c>
      <c r="N1097" s="1">
        <f t="shared" si="17"/>
        <v>0</v>
      </c>
      <c r="O1097" s="1">
        <v>0</v>
      </c>
      <c r="P1097" s="1"/>
      <c r="Q1097" s="1">
        <v>55.3</v>
      </c>
    </row>
    <row r="1098" spans="1:17">
      <c r="A1098" s="1" t="s">
        <v>1139</v>
      </c>
      <c r="B1098" s="4">
        <v>45734</v>
      </c>
      <c r="C1098" s="1" t="s">
        <v>2</v>
      </c>
      <c r="D1098" s="1" t="s">
        <v>41</v>
      </c>
      <c r="E1098" s="1" t="s">
        <v>32</v>
      </c>
      <c r="F1098" s="1" t="s">
        <v>52</v>
      </c>
      <c r="G1098" s="1" t="s">
        <v>39</v>
      </c>
      <c r="H1098" s="1">
        <v>1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f t="shared" si="17"/>
        <v>0</v>
      </c>
      <c r="O1098" s="1">
        <v>0</v>
      </c>
      <c r="P1098" s="1"/>
      <c r="Q1098" s="1">
        <v>44.7</v>
      </c>
    </row>
    <row r="1099" spans="1:17">
      <c r="A1099" s="1" t="s">
        <v>1140</v>
      </c>
      <c r="B1099" s="4">
        <v>45742</v>
      </c>
      <c r="C1099" s="1" t="s">
        <v>2</v>
      </c>
      <c r="D1099" s="1" t="s">
        <v>41</v>
      </c>
      <c r="E1099" s="1" t="s">
        <v>37</v>
      </c>
      <c r="F1099" s="1" t="s">
        <v>42</v>
      </c>
      <c r="G1099" s="1" t="s">
        <v>34</v>
      </c>
      <c r="H1099" s="1">
        <v>1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f t="shared" si="17"/>
        <v>0</v>
      </c>
      <c r="O1099" s="1">
        <v>0</v>
      </c>
      <c r="P1099" s="1"/>
      <c r="Q1099" s="1">
        <v>67.2</v>
      </c>
    </row>
    <row r="1100" spans="1:17">
      <c r="A1100" s="1" t="s">
        <v>1141</v>
      </c>
      <c r="B1100" s="4">
        <v>45766</v>
      </c>
      <c r="C1100" s="1" t="s">
        <v>2</v>
      </c>
      <c r="D1100" s="1" t="s">
        <v>31</v>
      </c>
      <c r="E1100" s="1" t="s">
        <v>37</v>
      </c>
      <c r="F1100" s="1" t="s">
        <v>42</v>
      </c>
      <c r="G1100" s="1" t="s">
        <v>34</v>
      </c>
      <c r="H1100" s="1">
        <v>1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f t="shared" si="17"/>
        <v>0</v>
      </c>
      <c r="O1100" s="1">
        <v>0</v>
      </c>
      <c r="P1100" s="1"/>
      <c r="Q1100" s="1"/>
    </row>
    <row r="1101" spans="1:17">
      <c r="A1101" s="1" t="s">
        <v>1142</v>
      </c>
      <c r="B1101" s="4">
        <v>45764</v>
      </c>
      <c r="C1101" s="1" t="s">
        <v>2</v>
      </c>
      <c r="D1101" s="1" t="s">
        <v>41</v>
      </c>
      <c r="E1101" s="1" t="s">
        <v>37</v>
      </c>
      <c r="F1101" s="1" t="s">
        <v>38</v>
      </c>
      <c r="G1101" s="1" t="s">
        <v>43</v>
      </c>
      <c r="H1101" s="1">
        <v>1</v>
      </c>
      <c r="I1101" s="1">
        <v>1</v>
      </c>
      <c r="J1101" s="1">
        <v>1</v>
      </c>
      <c r="K1101" s="1">
        <v>0</v>
      </c>
      <c r="L1101" s="1">
        <v>0</v>
      </c>
      <c r="M1101" s="1">
        <v>1</v>
      </c>
      <c r="N1101" s="1">
        <f t="shared" si="17"/>
        <v>1</v>
      </c>
      <c r="O1101" s="1">
        <v>0</v>
      </c>
      <c r="P1101" s="1"/>
      <c r="Q1101" s="1">
        <v>70.8</v>
      </c>
    </row>
    <row r="1102" spans="1:17">
      <c r="A1102" s="1" t="s">
        <v>1143</v>
      </c>
      <c r="B1102" s="4">
        <v>45803</v>
      </c>
      <c r="C1102" s="1" t="s">
        <v>2</v>
      </c>
      <c r="D1102" s="1" t="s">
        <v>45</v>
      </c>
      <c r="E1102" s="1" t="s">
        <v>37</v>
      </c>
      <c r="F1102" s="1" t="s">
        <v>42</v>
      </c>
      <c r="G1102" s="1" t="s">
        <v>39</v>
      </c>
      <c r="H1102" s="1">
        <v>1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f t="shared" si="17"/>
        <v>0</v>
      </c>
      <c r="O1102" s="1">
        <v>0</v>
      </c>
      <c r="P1102" s="1"/>
      <c r="Q1102" s="1">
        <v>71.3</v>
      </c>
    </row>
    <row r="1103" spans="1:17">
      <c r="A1103" s="1" t="s">
        <v>1144</v>
      </c>
      <c r="B1103" s="4">
        <v>45761</v>
      </c>
      <c r="C1103" s="1" t="s">
        <v>2</v>
      </c>
      <c r="D1103" s="1" t="s">
        <v>31</v>
      </c>
      <c r="E1103" s="1" t="s">
        <v>37</v>
      </c>
      <c r="F1103" s="1" t="s">
        <v>54</v>
      </c>
      <c r="G1103" s="1" t="s">
        <v>43</v>
      </c>
      <c r="H1103" s="1">
        <v>1</v>
      </c>
      <c r="I1103" s="1">
        <v>1</v>
      </c>
      <c r="J1103" s="1">
        <v>1</v>
      </c>
      <c r="K1103" s="1">
        <v>0</v>
      </c>
      <c r="L1103" s="1">
        <v>0</v>
      </c>
      <c r="M1103" s="1">
        <v>0</v>
      </c>
      <c r="N1103" s="1">
        <f t="shared" si="17"/>
        <v>0</v>
      </c>
      <c r="O1103" s="1">
        <v>0</v>
      </c>
      <c r="P1103" s="1"/>
      <c r="Q1103" s="1">
        <v>69.400000000000006</v>
      </c>
    </row>
    <row r="1104" spans="1:17">
      <c r="A1104" s="1" t="s">
        <v>1145</v>
      </c>
      <c r="B1104" s="4">
        <v>45680</v>
      </c>
      <c r="C1104" s="1" t="s">
        <v>2</v>
      </c>
      <c r="D1104" s="1" t="s">
        <v>45</v>
      </c>
      <c r="E1104" s="1" t="s">
        <v>37</v>
      </c>
      <c r="F1104" s="1" t="s">
        <v>38</v>
      </c>
      <c r="G1104" s="1" t="s">
        <v>34</v>
      </c>
      <c r="H1104" s="1">
        <v>1</v>
      </c>
      <c r="I1104" s="1">
        <v>1</v>
      </c>
      <c r="J1104" s="1">
        <v>0</v>
      </c>
      <c r="K1104" s="1">
        <v>0</v>
      </c>
      <c r="L1104" s="1">
        <v>0</v>
      </c>
      <c r="M1104" s="1">
        <v>0</v>
      </c>
      <c r="N1104" s="1">
        <f t="shared" si="17"/>
        <v>0</v>
      </c>
      <c r="O1104" s="1">
        <v>0</v>
      </c>
      <c r="P1104" s="1"/>
      <c r="Q1104" s="1">
        <v>58.9</v>
      </c>
    </row>
    <row r="1105" spans="1:17">
      <c r="A1105" s="1" t="s">
        <v>1146</v>
      </c>
      <c r="B1105" s="4">
        <v>45663</v>
      </c>
      <c r="C1105" s="1" t="s">
        <v>2</v>
      </c>
      <c r="D1105" s="1" t="s">
        <v>41</v>
      </c>
      <c r="E1105" s="1" t="s">
        <v>37</v>
      </c>
      <c r="F1105" s="1" t="s">
        <v>52</v>
      </c>
      <c r="G1105" s="1" t="s">
        <v>39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f t="shared" si="17"/>
        <v>0</v>
      </c>
      <c r="O1105" s="1">
        <v>0</v>
      </c>
      <c r="P1105" s="1"/>
      <c r="Q1105" s="1">
        <v>70.7</v>
      </c>
    </row>
    <row r="1106" spans="1:17">
      <c r="A1106" s="1" t="s">
        <v>1147</v>
      </c>
      <c r="B1106" s="4">
        <v>45808</v>
      </c>
      <c r="C1106" s="1" t="s">
        <v>2</v>
      </c>
      <c r="D1106" s="1" t="s">
        <v>36</v>
      </c>
      <c r="E1106" s="1" t="s">
        <v>37</v>
      </c>
      <c r="F1106" s="1" t="s">
        <v>33</v>
      </c>
      <c r="G1106" s="1" t="s">
        <v>34</v>
      </c>
      <c r="H1106" s="1">
        <v>1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f t="shared" si="17"/>
        <v>0</v>
      </c>
      <c r="O1106" s="1">
        <v>0</v>
      </c>
      <c r="P1106" s="1"/>
      <c r="Q1106" s="1">
        <v>60.5</v>
      </c>
    </row>
    <row r="1107" spans="1:17">
      <c r="A1107" s="1" t="s">
        <v>1148</v>
      </c>
      <c r="B1107" s="4">
        <v>45796</v>
      </c>
      <c r="C1107" s="1" t="s">
        <v>2</v>
      </c>
      <c r="D1107" s="1" t="s">
        <v>31</v>
      </c>
      <c r="E1107" s="1" t="s">
        <v>37</v>
      </c>
      <c r="F1107" s="1" t="s">
        <v>38</v>
      </c>
      <c r="G1107" s="1" t="s">
        <v>34</v>
      </c>
      <c r="H1107" s="1">
        <v>1</v>
      </c>
      <c r="I1107" s="1">
        <v>1</v>
      </c>
      <c r="J1107" s="1">
        <v>1</v>
      </c>
      <c r="K1107" s="1">
        <v>0</v>
      </c>
      <c r="L1107" s="1">
        <v>0</v>
      </c>
      <c r="M1107" s="1">
        <v>0</v>
      </c>
      <c r="N1107" s="1">
        <f t="shared" si="17"/>
        <v>0</v>
      </c>
      <c r="O1107" s="1">
        <v>0</v>
      </c>
      <c r="P1107" s="1"/>
      <c r="Q1107" s="1">
        <v>77.3</v>
      </c>
    </row>
    <row r="1108" spans="1:17">
      <c r="A1108" s="1" t="s">
        <v>1149</v>
      </c>
      <c r="B1108" s="4">
        <v>45713</v>
      </c>
      <c r="C1108" s="1" t="s">
        <v>2</v>
      </c>
      <c r="D1108" s="1" t="s">
        <v>31</v>
      </c>
      <c r="E1108" s="1" t="s">
        <v>37</v>
      </c>
      <c r="F1108" s="1" t="s">
        <v>38</v>
      </c>
      <c r="G1108" s="1" t="s">
        <v>39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1</v>
      </c>
      <c r="N1108" s="1">
        <f t="shared" si="17"/>
        <v>1</v>
      </c>
      <c r="O1108" s="1">
        <v>0</v>
      </c>
      <c r="P1108" s="1"/>
      <c r="Q1108" s="1">
        <v>39.5</v>
      </c>
    </row>
    <row r="1109" spans="1:17">
      <c r="A1109" s="1" t="s">
        <v>1150</v>
      </c>
      <c r="B1109" s="4">
        <v>45667</v>
      </c>
      <c r="C1109" s="1" t="s">
        <v>2</v>
      </c>
      <c r="D1109" s="1" t="s">
        <v>45</v>
      </c>
      <c r="E1109" s="1" t="s">
        <v>47</v>
      </c>
      <c r="F1109" s="1" t="s">
        <v>38</v>
      </c>
      <c r="G1109" s="1" t="s">
        <v>34</v>
      </c>
      <c r="H1109" s="1">
        <v>1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f t="shared" si="17"/>
        <v>0</v>
      </c>
      <c r="O1109" s="1">
        <v>0</v>
      </c>
      <c r="P1109" s="1"/>
      <c r="Q1109" s="1">
        <v>68.099999999999994</v>
      </c>
    </row>
    <row r="1110" spans="1:17">
      <c r="A1110" s="1" t="s">
        <v>1151</v>
      </c>
      <c r="B1110" s="4">
        <v>45790</v>
      </c>
      <c r="C1110" s="1" t="s">
        <v>2</v>
      </c>
      <c r="D1110" s="1" t="s">
        <v>31</v>
      </c>
      <c r="E1110" s="1" t="s">
        <v>47</v>
      </c>
      <c r="F1110" s="1" t="s">
        <v>42</v>
      </c>
      <c r="G1110" s="1" t="s">
        <v>39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f t="shared" si="17"/>
        <v>0</v>
      </c>
      <c r="O1110" s="1">
        <v>0</v>
      </c>
      <c r="P1110" s="1"/>
      <c r="Q1110" s="1">
        <v>80.3</v>
      </c>
    </row>
    <row r="1111" spans="1:17">
      <c r="A1111" s="1" t="s">
        <v>1152</v>
      </c>
      <c r="B1111" s="4">
        <v>45774</v>
      </c>
      <c r="C1111" s="1" t="s">
        <v>2</v>
      </c>
      <c r="D1111" s="1" t="s">
        <v>36</v>
      </c>
      <c r="E1111" s="1" t="s">
        <v>32</v>
      </c>
      <c r="F1111" s="1" t="s">
        <v>38</v>
      </c>
      <c r="G1111" s="1" t="s">
        <v>43</v>
      </c>
      <c r="H1111" s="1">
        <v>1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f t="shared" si="17"/>
        <v>0</v>
      </c>
      <c r="O1111" s="1">
        <v>0</v>
      </c>
      <c r="P1111" s="1"/>
      <c r="Q1111" s="1">
        <v>77.7</v>
      </c>
    </row>
    <row r="1112" spans="1:17">
      <c r="A1112" s="1" t="s">
        <v>1153</v>
      </c>
      <c r="B1112" s="4">
        <v>45750</v>
      </c>
      <c r="C1112" s="1" t="s">
        <v>2</v>
      </c>
      <c r="D1112" s="1" t="s">
        <v>45</v>
      </c>
      <c r="E1112" s="1" t="s">
        <v>37</v>
      </c>
      <c r="F1112" s="1" t="s">
        <v>38</v>
      </c>
      <c r="G1112" s="1" t="s">
        <v>39</v>
      </c>
      <c r="H1112" s="1">
        <v>1</v>
      </c>
      <c r="I1112" s="1">
        <v>0</v>
      </c>
      <c r="J1112" s="1">
        <v>0</v>
      </c>
      <c r="K1112" s="1">
        <v>0</v>
      </c>
      <c r="L1112" s="1">
        <v>0</v>
      </c>
      <c r="M1112" s="1">
        <v>1</v>
      </c>
      <c r="N1112" s="1">
        <f t="shared" si="17"/>
        <v>1</v>
      </c>
      <c r="O1112" s="1">
        <v>0</v>
      </c>
      <c r="P1112" s="1"/>
      <c r="Q1112" s="1">
        <v>66.2</v>
      </c>
    </row>
    <row r="1113" spans="1:17">
      <c r="A1113" s="1" t="s">
        <v>1154</v>
      </c>
      <c r="B1113" s="4">
        <v>45742</v>
      </c>
      <c r="C1113" s="1" t="s">
        <v>2</v>
      </c>
      <c r="D1113" s="1" t="s">
        <v>45</v>
      </c>
      <c r="E1113" s="1" t="s">
        <v>37</v>
      </c>
      <c r="F1113" s="1" t="s">
        <v>38</v>
      </c>
      <c r="G1113" s="1" t="s">
        <v>39</v>
      </c>
      <c r="H1113" s="1">
        <v>1</v>
      </c>
      <c r="I1113" s="1">
        <v>1</v>
      </c>
      <c r="J1113" s="1">
        <v>1</v>
      </c>
      <c r="K1113" s="1">
        <v>0</v>
      </c>
      <c r="L1113" s="1">
        <v>0</v>
      </c>
      <c r="M1113" s="1">
        <v>1</v>
      </c>
      <c r="N1113" s="1">
        <f t="shared" si="17"/>
        <v>1</v>
      </c>
      <c r="O1113" s="1">
        <v>0</v>
      </c>
      <c r="P1113" s="1"/>
      <c r="Q1113" s="1">
        <v>43.9</v>
      </c>
    </row>
    <row r="1114" spans="1:17">
      <c r="A1114" s="1" t="s">
        <v>1155</v>
      </c>
      <c r="B1114" s="4">
        <v>45688</v>
      </c>
      <c r="C1114" s="1" t="s">
        <v>2</v>
      </c>
      <c r="D1114" s="1" t="s">
        <v>45</v>
      </c>
      <c r="E1114" s="1" t="s">
        <v>37</v>
      </c>
      <c r="F1114" s="1" t="s">
        <v>38</v>
      </c>
      <c r="G1114" s="1" t="s">
        <v>34</v>
      </c>
      <c r="H1114" s="1">
        <v>1</v>
      </c>
      <c r="I1114" s="1">
        <v>1</v>
      </c>
      <c r="J1114" s="1">
        <v>1</v>
      </c>
      <c r="K1114" s="1">
        <v>0</v>
      </c>
      <c r="L1114" s="1">
        <v>0</v>
      </c>
      <c r="M1114" s="1">
        <v>2</v>
      </c>
      <c r="N1114" s="1">
        <f t="shared" si="17"/>
        <v>1</v>
      </c>
      <c r="O1114" s="1">
        <v>0</v>
      </c>
      <c r="P1114" s="1"/>
      <c r="Q1114" s="1">
        <v>59.1</v>
      </c>
    </row>
    <row r="1115" spans="1:17">
      <c r="A1115" s="1" t="s">
        <v>1156</v>
      </c>
      <c r="B1115" s="4">
        <v>45682</v>
      </c>
      <c r="C1115" s="1" t="s">
        <v>2</v>
      </c>
      <c r="D1115" s="1" t="s">
        <v>45</v>
      </c>
      <c r="E1115" s="1" t="s">
        <v>37</v>
      </c>
      <c r="F1115" s="1" t="s">
        <v>54</v>
      </c>
      <c r="G1115" s="1" t="s">
        <v>39</v>
      </c>
      <c r="H1115" s="1">
        <v>1</v>
      </c>
      <c r="I1115" s="1">
        <v>1</v>
      </c>
      <c r="J1115" s="1">
        <v>1</v>
      </c>
      <c r="K1115" s="1">
        <v>1</v>
      </c>
      <c r="L1115" s="1">
        <v>416.94</v>
      </c>
      <c r="M1115" s="1">
        <v>1</v>
      </c>
      <c r="N1115" s="1">
        <f t="shared" si="17"/>
        <v>1</v>
      </c>
      <c r="O1115" s="1">
        <v>0</v>
      </c>
      <c r="P1115" s="1">
        <v>11</v>
      </c>
      <c r="Q1115" s="1">
        <v>67</v>
      </c>
    </row>
    <row r="1116" spans="1:17">
      <c r="A1116" s="1" t="s">
        <v>1157</v>
      </c>
      <c r="B1116" s="4">
        <v>45694</v>
      </c>
      <c r="C1116" s="1" t="s">
        <v>2</v>
      </c>
      <c r="D1116" s="1" t="s">
        <v>36</v>
      </c>
      <c r="E1116" s="1" t="s">
        <v>37</v>
      </c>
      <c r="F1116" s="1" t="s">
        <v>52</v>
      </c>
      <c r="G1116" s="1" t="s">
        <v>34</v>
      </c>
      <c r="H1116" s="1">
        <v>1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f t="shared" si="17"/>
        <v>0</v>
      </c>
      <c r="O1116" s="1">
        <v>0</v>
      </c>
      <c r="P1116" s="1"/>
      <c r="Q1116" s="1">
        <v>47.9</v>
      </c>
    </row>
    <row r="1117" spans="1:17">
      <c r="A1117" s="1" t="s">
        <v>1158</v>
      </c>
      <c r="B1117" s="4">
        <v>45726</v>
      </c>
      <c r="C1117" s="1" t="s">
        <v>2</v>
      </c>
      <c r="D1117" s="1" t="s">
        <v>41</v>
      </c>
      <c r="E1117" s="1" t="s">
        <v>37</v>
      </c>
      <c r="F1117" s="1" t="s">
        <v>42</v>
      </c>
      <c r="G1117" s="1" t="s">
        <v>39</v>
      </c>
      <c r="H1117" s="1">
        <v>1</v>
      </c>
      <c r="I1117" s="1">
        <v>1</v>
      </c>
      <c r="J1117" s="1">
        <v>0</v>
      </c>
      <c r="K1117" s="1">
        <v>0</v>
      </c>
      <c r="L1117" s="1">
        <v>0</v>
      </c>
      <c r="M1117" s="1">
        <v>0</v>
      </c>
      <c r="N1117" s="1">
        <f t="shared" si="17"/>
        <v>0</v>
      </c>
      <c r="O1117" s="1">
        <v>0</v>
      </c>
      <c r="P1117" s="1"/>
      <c r="Q1117" s="1">
        <v>41.5</v>
      </c>
    </row>
    <row r="1118" spans="1:17">
      <c r="A1118" s="1" t="s">
        <v>1159</v>
      </c>
      <c r="B1118" s="4">
        <v>45683</v>
      </c>
      <c r="C1118" s="1" t="s">
        <v>2</v>
      </c>
      <c r="D1118" s="1" t="s">
        <v>36</v>
      </c>
      <c r="E1118" s="1" t="s">
        <v>37</v>
      </c>
      <c r="F1118" s="1" t="s">
        <v>38</v>
      </c>
      <c r="G1118" s="1" t="s">
        <v>34</v>
      </c>
      <c r="H1118" s="1">
        <v>1</v>
      </c>
      <c r="I1118" s="1">
        <v>1</v>
      </c>
      <c r="J1118" s="1">
        <v>1</v>
      </c>
      <c r="K1118" s="1">
        <v>0</v>
      </c>
      <c r="L1118" s="1">
        <v>0</v>
      </c>
      <c r="M1118" s="1">
        <v>3</v>
      </c>
      <c r="N1118" s="1">
        <f t="shared" si="17"/>
        <v>1</v>
      </c>
      <c r="O1118" s="1">
        <v>0</v>
      </c>
      <c r="P1118" s="1"/>
      <c r="Q1118" s="1">
        <v>30.6</v>
      </c>
    </row>
    <row r="1119" spans="1:17">
      <c r="A1119" s="1" t="s">
        <v>1160</v>
      </c>
      <c r="B1119" s="4">
        <v>45658</v>
      </c>
      <c r="C1119" s="1" t="s">
        <v>2</v>
      </c>
      <c r="D1119" s="1" t="s">
        <v>41</v>
      </c>
      <c r="E1119" s="1" t="s">
        <v>37</v>
      </c>
      <c r="F1119" s="1" t="s">
        <v>42</v>
      </c>
      <c r="G1119" s="1" t="s">
        <v>39</v>
      </c>
      <c r="H1119" s="1">
        <v>1</v>
      </c>
      <c r="I1119" s="1">
        <v>1</v>
      </c>
      <c r="J1119" s="1">
        <v>0</v>
      </c>
      <c r="K1119" s="1">
        <v>0</v>
      </c>
      <c r="L1119" s="1">
        <v>0</v>
      </c>
      <c r="M1119" s="1">
        <v>0</v>
      </c>
      <c r="N1119" s="1">
        <f t="shared" si="17"/>
        <v>0</v>
      </c>
      <c r="O1119" s="1">
        <v>0</v>
      </c>
      <c r="P1119" s="1"/>
      <c r="Q1119" s="1">
        <v>91.5</v>
      </c>
    </row>
    <row r="1120" spans="1:17">
      <c r="A1120" s="1" t="s">
        <v>1161</v>
      </c>
      <c r="B1120" s="4">
        <v>45775</v>
      </c>
      <c r="C1120" s="1" t="s">
        <v>2</v>
      </c>
      <c r="D1120" s="1" t="s">
        <v>31</v>
      </c>
      <c r="E1120" s="1" t="s">
        <v>32</v>
      </c>
      <c r="F1120" s="1" t="s">
        <v>54</v>
      </c>
      <c r="G1120" s="1" t="s">
        <v>34</v>
      </c>
      <c r="H1120" s="1">
        <v>1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f t="shared" si="17"/>
        <v>0</v>
      </c>
      <c r="O1120" s="1">
        <v>0</v>
      </c>
      <c r="P1120" s="1"/>
      <c r="Q1120" s="1">
        <v>80.8</v>
      </c>
    </row>
    <row r="1121" spans="1:17">
      <c r="A1121" s="1" t="s">
        <v>1162</v>
      </c>
      <c r="B1121" s="4">
        <v>45751</v>
      </c>
      <c r="C1121" s="1" t="s">
        <v>2</v>
      </c>
      <c r="D1121" s="1" t="s">
        <v>31</v>
      </c>
      <c r="E1121" s="1" t="s">
        <v>37</v>
      </c>
      <c r="F1121" s="1" t="s">
        <v>38</v>
      </c>
      <c r="G1121" s="1" t="s">
        <v>43</v>
      </c>
      <c r="H1121" s="1">
        <v>1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f t="shared" si="17"/>
        <v>0</v>
      </c>
      <c r="O1121" s="1">
        <v>0</v>
      </c>
      <c r="P1121" s="1"/>
      <c r="Q1121" s="1">
        <v>68.099999999999994</v>
      </c>
    </row>
    <row r="1122" spans="1:17">
      <c r="A1122" s="1" t="s">
        <v>1163</v>
      </c>
      <c r="B1122" s="4">
        <v>45718</v>
      </c>
      <c r="C1122" s="1" t="s">
        <v>2</v>
      </c>
      <c r="D1122" s="1" t="s">
        <v>41</v>
      </c>
      <c r="E1122" s="1" t="s">
        <v>37</v>
      </c>
      <c r="F1122" s="1" t="s">
        <v>42</v>
      </c>
      <c r="G1122" s="1" t="s">
        <v>39</v>
      </c>
      <c r="H1122" s="1">
        <v>1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f t="shared" si="17"/>
        <v>0</v>
      </c>
      <c r="O1122" s="1">
        <v>0</v>
      </c>
      <c r="P1122" s="1"/>
      <c r="Q1122" s="1">
        <v>80.3</v>
      </c>
    </row>
    <row r="1123" spans="1:17">
      <c r="A1123" s="1" t="s">
        <v>1164</v>
      </c>
      <c r="B1123" s="4">
        <v>45735</v>
      </c>
      <c r="C1123" s="1" t="s">
        <v>2</v>
      </c>
      <c r="D1123" s="1" t="s">
        <v>45</v>
      </c>
      <c r="E1123" s="1" t="s">
        <v>47</v>
      </c>
      <c r="F1123" s="1" t="s">
        <v>38</v>
      </c>
      <c r="G1123" s="1" t="s">
        <v>34</v>
      </c>
      <c r="H1123" s="1">
        <v>1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f t="shared" si="17"/>
        <v>0</v>
      </c>
      <c r="O1123" s="1">
        <v>0</v>
      </c>
      <c r="P1123" s="1"/>
      <c r="Q1123" s="1">
        <v>44.4</v>
      </c>
    </row>
    <row r="1124" spans="1:17">
      <c r="A1124" s="1" t="s">
        <v>1165</v>
      </c>
      <c r="B1124" s="4">
        <v>45677</v>
      </c>
      <c r="C1124" s="1" t="s">
        <v>2</v>
      </c>
      <c r="D1124" s="1" t="s">
        <v>45</v>
      </c>
      <c r="E1124" s="1" t="s">
        <v>32</v>
      </c>
      <c r="F1124" s="1" t="s">
        <v>38</v>
      </c>
      <c r="G1124" s="1" t="s">
        <v>34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f t="shared" si="17"/>
        <v>0</v>
      </c>
      <c r="O1124" s="1">
        <v>0</v>
      </c>
      <c r="P1124" s="1"/>
      <c r="Q1124" s="1">
        <v>51.9</v>
      </c>
    </row>
    <row r="1125" spans="1:17">
      <c r="A1125" s="1" t="s">
        <v>1166</v>
      </c>
      <c r="B1125" s="4">
        <v>45750</v>
      </c>
      <c r="C1125" s="1" t="s">
        <v>2</v>
      </c>
      <c r="D1125" s="1" t="s">
        <v>41</v>
      </c>
      <c r="E1125" s="1" t="s">
        <v>37</v>
      </c>
      <c r="F1125" s="1" t="s">
        <v>42</v>
      </c>
      <c r="G1125" s="1" t="s">
        <v>39</v>
      </c>
      <c r="H1125" s="1">
        <v>1</v>
      </c>
      <c r="I1125" s="1">
        <v>1</v>
      </c>
      <c r="J1125" s="1">
        <v>0</v>
      </c>
      <c r="K1125" s="1">
        <v>0</v>
      </c>
      <c r="L1125" s="1">
        <v>0</v>
      </c>
      <c r="M1125" s="1">
        <v>0</v>
      </c>
      <c r="N1125" s="1">
        <f t="shared" si="17"/>
        <v>0</v>
      </c>
      <c r="O1125" s="1">
        <v>0</v>
      </c>
      <c r="P1125" s="1"/>
      <c r="Q1125" s="1">
        <v>49.8</v>
      </c>
    </row>
    <row r="1126" spans="1:17">
      <c r="A1126" s="1" t="s">
        <v>1167</v>
      </c>
      <c r="B1126" s="4">
        <v>45668</v>
      </c>
      <c r="C1126" s="1" t="s">
        <v>2</v>
      </c>
      <c r="D1126" s="1" t="s">
        <v>41</v>
      </c>
      <c r="E1126" s="1" t="s">
        <v>32</v>
      </c>
      <c r="F1126" s="1" t="s">
        <v>54</v>
      </c>
      <c r="G1126" s="1" t="s">
        <v>39</v>
      </c>
      <c r="H1126" s="1">
        <v>1</v>
      </c>
      <c r="I1126" s="1">
        <v>1</v>
      </c>
      <c r="J1126" s="1">
        <v>1</v>
      </c>
      <c r="K1126" s="1">
        <v>0</v>
      </c>
      <c r="L1126" s="1">
        <v>0</v>
      </c>
      <c r="M1126" s="1">
        <v>3</v>
      </c>
      <c r="N1126" s="1">
        <f t="shared" si="17"/>
        <v>1</v>
      </c>
      <c r="O1126" s="1">
        <v>0</v>
      </c>
      <c r="P1126" s="1"/>
      <c r="Q1126" s="1">
        <v>62.1</v>
      </c>
    </row>
    <row r="1127" spans="1:17">
      <c r="A1127" s="1" t="s">
        <v>1168</v>
      </c>
      <c r="B1127" s="4">
        <v>45690</v>
      </c>
      <c r="C1127" s="1" t="s">
        <v>2</v>
      </c>
      <c r="D1127" s="1" t="s">
        <v>36</v>
      </c>
      <c r="E1127" s="1" t="s">
        <v>32</v>
      </c>
      <c r="F1127" s="1" t="s">
        <v>54</v>
      </c>
      <c r="G1127" s="1" t="s">
        <v>34</v>
      </c>
      <c r="H1127" s="1">
        <v>1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f t="shared" si="17"/>
        <v>0</v>
      </c>
      <c r="O1127" s="1">
        <v>0</v>
      </c>
      <c r="P1127" s="1"/>
      <c r="Q1127" s="1">
        <v>91.3</v>
      </c>
    </row>
    <row r="1128" spans="1:17">
      <c r="A1128" s="1" t="s">
        <v>1169</v>
      </c>
      <c r="B1128" s="4">
        <v>45748</v>
      </c>
      <c r="C1128" s="1" t="s">
        <v>2</v>
      </c>
      <c r="D1128" s="1" t="s">
        <v>45</v>
      </c>
      <c r="E1128" s="1" t="s">
        <v>37</v>
      </c>
      <c r="F1128" s="1" t="s">
        <v>38</v>
      </c>
      <c r="G1128" s="1" t="s">
        <v>34</v>
      </c>
      <c r="H1128" s="1">
        <v>1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f t="shared" si="17"/>
        <v>0</v>
      </c>
      <c r="O1128" s="1">
        <v>0</v>
      </c>
      <c r="P1128" s="1"/>
      <c r="Q1128" s="1">
        <v>66.400000000000006</v>
      </c>
    </row>
    <row r="1129" spans="1:17">
      <c r="A1129" s="1" t="s">
        <v>1170</v>
      </c>
      <c r="B1129" s="4">
        <v>45799</v>
      </c>
      <c r="C1129" s="1" t="s">
        <v>2</v>
      </c>
      <c r="D1129" s="1" t="s">
        <v>41</v>
      </c>
      <c r="E1129" s="1" t="s">
        <v>37</v>
      </c>
      <c r="F1129" s="1" t="s">
        <v>38</v>
      </c>
      <c r="G1129" s="1" t="s">
        <v>34</v>
      </c>
      <c r="H1129" s="1">
        <v>1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f t="shared" si="17"/>
        <v>0</v>
      </c>
      <c r="O1129" s="1">
        <v>0</v>
      </c>
      <c r="P1129" s="1"/>
      <c r="Q1129" s="1">
        <v>41.5</v>
      </c>
    </row>
    <row r="1130" spans="1:17">
      <c r="A1130" s="1" t="s">
        <v>1171</v>
      </c>
      <c r="B1130" s="4">
        <v>45708</v>
      </c>
      <c r="C1130" s="1" t="s">
        <v>2</v>
      </c>
      <c r="D1130" s="1" t="s">
        <v>36</v>
      </c>
      <c r="E1130" s="1" t="s">
        <v>37</v>
      </c>
      <c r="F1130" s="1" t="s">
        <v>38</v>
      </c>
      <c r="G1130" s="1" t="s">
        <v>34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f t="shared" si="17"/>
        <v>0</v>
      </c>
      <c r="O1130" s="1">
        <v>0</v>
      </c>
      <c r="P1130" s="1"/>
      <c r="Q1130" s="1">
        <v>77.099999999999994</v>
      </c>
    </row>
    <row r="1131" spans="1:17">
      <c r="A1131" s="1" t="s">
        <v>1172</v>
      </c>
      <c r="B1131" s="4">
        <v>45737</v>
      </c>
      <c r="C1131" s="1" t="s">
        <v>2</v>
      </c>
      <c r="D1131" s="1" t="s">
        <v>36</v>
      </c>
      <c r="E1131" s="1" t="s">
        <v>37</v>
      </c>
      <c r="F1131" s="1" t="s">
        <v>38</v>
      </c>
      <c r="G1131" s="1" t="s">
        <v>39</v>
      </c>
      <c r="H1131" s="1">
        <v>1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f t="shared" si="17"/>
        <v>0</v>
      </c>
      <c r="O1131" s="1">
        <v>0</v>
      </c>
      <c r="P1131" s="1"/>
      <c r="Q1131" s="1">
        <v>63.2</v>
      </c>
    </row>
    <row r="1132" spans="1:17">
      <c r="A1132" s="1" t="s">
        <v>1173</v>
      </c>
      <c r="B1132" s="4">
        <v>45778</v>
      </c>
      <c r="C1132" s="1" t="s">
        <v>2</v>
      </c>
      <c r="D1132" s="1" t="s">
        <v>36</v>
      </c>
      <c r="E1132" s="1" t="s">
        <v>32</v>
      </c>
      <c r="F1132" s="1" t="s">
        <v>52</v>
      </c>
      <c r="G1132" s="1" t="s">
        <v>39</v>
      </c>
      <c r="H1132" s="1">
        <v>1</v>
      </c>
      <c r="I1132" s="1">
        <v>1</v>
      </c>
      <c r="J1132" s="1">
        <v>1</v>
      </c>
      <c r="K1132" s="1">
        <v>0</v>
      </c>
      <c r="L1132" s="1">
        <v>0</v>
      </c>
      <c r="M1132" s="1">
        <v>3</v>
      </c>
      <c r="N1132" s="1">
        <f t="shared" si="17"/>
        <v>1</v>
      </c>
      <c r="O1132" s="1">
        <v>0</v>
      </c>
      <c r="P1132" s="1"/>
      <c r="Q1132" s="1">
        <v>75.7</v>
      </c>
    </row>
    <row r="1133" spans="1:17">
      <c r="A1133" s="1" t="s">
        <v>1174</v>
      </c>
      <c r="B1133" s="4">
        <v>45663</v>
      </c>
      <c r="C1133" s="1" t="s">
        <v>2</v>
      </c>
      <c r="D1133" s="1" t="s">
        <v>36</v>
      </c>
      <c r="E1133" s="1" t="s">
        <v>37</v>
      </c>
      <c r="F1133" s="1" t="s">
        <v>42</v>
      </c>
      <c r="G1133" s="1" t="s">
        <v>34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f t="shared" si="17"/>
        <v>0</v>
      </c>
      <c r="O1133" s="1">
        <v>0</v>
      </c>
      <c r="P1133" s="1"/>
      <c r="Q1133" s="1">
        <v>62.9</v>
      </c>
    </row>
    <row r="1134" spans="1:17">
      <c r="A1134" s="1" t="s">
        <v>1175</v>
      </c>
      <c r="B1134" s="4">
        <v>45759</v>
      </c>
      <c r="C1134" s="1" t="s">
        <v>2</v>
      </c>
      <c r="D1134" s="1" t="s">
        <v>31</v>
      </c>
      <c r="E1134" s="1" t="s">
        <v>32</v>
      </c>
      <c r="F1134" s="1" t="s">
        <v>42</v>
      </c>
      <c r="G1134" s="1" t="s">
        <v>43</v>
      </c>
      <c r="H1134" s="1">
        <v>1</v>
      </c>
      <c r="I1134" s="1">
        <v>0</v>
      </c>
      <c r="J1134" s="1">
        <v>0</v>
      </c>
      <c r="K1134" s="1">
        <v>0</v>
      </c>
      <c r="L1134" s="1">
        <v>0</v>
      </c>
      <c r="M1134" s="1">
        <v>3</v>
      </c>
      <c r="N1134" s="1">
        <f t="shared" si="17"/>
        <v>1</v>
      </c>
      <c r="O1134" s="1">
        <v>0</v>
      </c>
      <c r="P1134" s="1"/>
      <c r="Q1134" s="1">
        <v>64.599999999999994</v>
      </c>
    </row>
    <row r="1135" spans="1:17">
      <c r="A1135" s="1" t="s">
        <v>1176</v>
      </c>
      <c r="B1135" s="4">
        <v>45765</v>
      </c>
      <c r="C1135" s="1" t="s">
        <v>2</v>
      </c>
      <c r="D1135" s="1" t="s">
        <v>31</v>
      </c>
      <c r="E1135" s="1" t="s">
        <v>37</v>
      </c>
      <c r="F1135" s="1"/>
      <c r="G1135" s="1" t="s">
        <v>34</v>
      </c>
      <c r="H1135" s="1">
        <v>1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f t="shared" si="17"/>
        <v>0</v>
      </c>
      <c r="O1135" s="1">
        <v>0</v>
      </c>
      <c r="P1135" s="1"/>
      <c r="Q1135" s="1">
        <v>76.599999999999994</v>
      </c>
    </row>
    <row r="1136" spans="1:17">
      <c r="A1136" s="1" t="s">
        <v>1177</v>
      </c>
      <c r="B1136" s="4">
        <v>45740</v>
      </c>
      <c r="C1136" s="1" t="s">
        <v>2</v>
      </c>
      <c r="D1136" s="1" t="s">
        <v>41</v>
      </c>
      <c r="E1136" s="1" t="s">
        <v>37</v>
      </c>
      <c r="F1136" s="1" t="s">
        <v>54</v>
      </c>
      <c r="G1136" s="1" t="s">
        <v>34</v>
      </c>
      <c r="H1136" s="1">
        <v>1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f t="shared" si="17"/>
        <v>0</v>
      </c>
      <c r="O1136" s="1">
        <v>0</v>
      </c>
      <c r="P1136" s="1"/>
      <c r="Q1136" s="1">
        <v>74.8</v>
      </c>
    </row>
    <row r="1137" spans="1:17">
      <c r="A1137" s="1" t="s">
        <v>1178</v>
      </c>
      <c r="B1137" s="4">
        <v>45734</v>
      </c>
      <c r="C1137" s="1" t="s">
        <v>2</v>
      </c>
      <c r="D1137" s="1" t="s">
        <v>41</v>
      </c>
      <c r="E1137" s="1" t="s">
        <v>32</v>
      </c>
      <c r="F1137" s="1" t="s">
        <v>33</v>
      </c>
      <c r="G1137" s="1" t="s">
        <v>43</v>
      </c>
      <c r="H1137" s="1">
        <v>1</v>
      </c>
      <c r="I1137" s="1">
        <v>0</v>
      </c>
      <c r="J1137" s="1">
        <v>0</v>
      </c>
      <c r="K1137" s="1">
        <v>0</v>
      </c>
      <c r="L1137" s="1">
        <v>0</v>
      </c>
      <c r="M1137" s="1">
        <v>2</v>
      </c>
      <c r="N1137" s="1">
        <f t="shared" si="17"/>
        <v>1</v>
      </c>
      <c r="O1137" s="1">
        <v>0</v>
      </c>
      <c r="P1137" s="1"/>
      <c r="Q1137" s="1">
        <v>38.1</v>
      </c>
    </row>
    <row r="1138" spans="1:17">
      <c r="A1138" s="1" t="s">
        <v>1179</v>
      </c>
      <c r="B1138" s="4">
        <v>45777</v>
      </c>
      <c r="C1138" s="1" t="s">
        <v>2</v>
      </c>
      <c r="D1138" s="1" t="s">
        <v>45</v>
      </c>
      <c r="E1138" s="1" t="s">
        <v>47</v>
      </c>
      <c r="F1138" s="1" t="s">
        <v>42</v>
      </c>
      <c r="G1138" s="1" t="s">
        <v>34</v>
      </c>
      <c r="H1138" s="1">
        <v>1</v>
      </c>
      <c r="I1138" s="1">
        <v>1</v>
      </c>
      <c r="J1138" s="1">
        <v>0</v>
      </c>
      <c r="K1138" s="1">
        <v>0</v>
      </c>
      <c r="L1138" s="1">
        <v>0</v>
      </c>
      <c r="M1138" s="1">
        <v>0</v>
      </c>
      <c r="N1138" s="1">
        <f t="shared" si="17"/>
        <v>0</v>
      </c>
      <c r="O1138" s="1">
        <v>0</v>
      </c>
      <c r="P1138" s="1"/>
      <c r="Q1138" s="1">
        <v>60.2</v>
      </c>
    </row>
    <row r="1139" spans="1:17">
      <c r="A1139" s="1" t="s">
        <v>1180</v>
      </c>
      <c r="B1139" s="4">
        <v>45682</v>
      </c>
      <c r="C1139" s="1" t="s">
        <v>2</v>
      </c>
      <c r="D1139" s="1" t="s">
        <v>36</v>
      </c>
      <c r="E1139" s="1" t="s">
        <v>37</v>
      </c>
      <c r="F1139" s="1" t="s">
        <v>33</v>
      </c>
      <c r="G1139" s="1" t="s">
        <v>39</v>
      </c>
      <c r="H1139" s="1">
        <v>1</v>
      </c>
      <c r="I1139" s="1">
        <v>1</v>
      </c>
      <c r="J1139" s="1">
        <v>0</v>
      </c>
      <c r="K1139" s="1">
        <v>0</v>
      </c>
      <c r="L1139" s="1">
        <v>0</v>
      </c>
      <c r="M1139" s="1">
        <v>0</v>
      </c>
      <c r="N1139" s="1">
        <f t="shared" si="17"/>
        <v>0</v>
      </c>
      <c r="O1139" s="1">
        <v>0</v>
      </c>
      <c r="P1139" s="1"/>
      <c r="Q1139" s="1">
        <v>73.5</v>
      </c>
    </row>
    <row r="1140" spans="1:17">
      <c r="A1140" s="1" t="s">
        <v>1181</v>
      </c>
      <c r="B1140" s="4">
        <v>45757</v>
      </c>
      <c r="C1140" s="1" t="s">
        <v>2</v>
      </c>
      <c r="D1140" s="1" t="s">
        <v>45</v>
      </c>
      <c r="E1140" s="1" t="s">
        <v>37</v>
      </c>
      <c r="F1140" s="1" t="s">
        <v>38</v>
      </c>
      <c r="G1140" s="1" t="s">
        <v>39</v>
      </c>
      <c r="H1140" s="1">
        <v>1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f t="shared" si="17"/>
        <v>0</v>
      </c>
      <c r="O1140" s="1">
        <v>0</v>
      </c>
      <c r="P1140" s="1"/>
      <c r="Q1140" s="1">
        <v>70.900000000000006</v>
      </c>
    </row>
    <row r="1141" spans="1:17">
      <c r="A1141" s="1" t="s">
        <v>1182</v>
      </c>
      <c r="B1141" s="4">
        <v>45667</v>
      </c>
      <c r="C1141" s="1" t="s">
        <v>2</v>
      </c>
      <c r="D1141" s="1" t="s">
        <v>36</v>
      </c>
      <c r="E1141" s="1" t="s">
        <v>37</v>
      </c>
      <c r="F1141" s="1" t="s">
        <v>54</v>
      </c>
      <c r="G1141" s="1" t="s">
        <v>39</v>
      </c>
      <c r="H1141" s="1">
        <v>1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f t="shared" si="17"/>
        <v>0</v>
      </c>
      <c r="O1141" s="1">
        <v>0</v>
      </c>
      <c r="P1141" s="1"/>
      <c r="Q1141" s="1">
        <v>63.7</v>
      </c>
    </row>
    <row r="1142" spans="1:17">
      <c r="A1142" s="1" t="s">
        <v>1183</v>
      </c>
      <c r="B1142" s="4">
        <v>45699</v>
      </c>
      <c r="C1142" s="1" t="s">
        <v>2</v>
      </c>
      <c r="D1142" s="1" t="s">
        <v>45</v>
      </c>
      <c r="E1142" s="1" t="s">
        <v>37</v>
      </c>
      <c r="F1142" s="1" t="s">
        <v>42</v>
      </c>
      <c r="G1142" s="1" t="s">
        <v>39</v>
      </c>
      <c r="H1142" s="1">
        <v>1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f t="shared" si="17"/>
        <v>0</v>
      </c>
      <c r="O1142" s="1">
        <v>0</v>
      </c>
      <c r="P1142" s="1"/>
      <c r="Q1142" s="1">
        <v>86.5</v>
      </c>
    </row>
    <row r="1143" spans="1:17">
      <c r="A1143" s="1" t="s">
        <v>1184</v>
      </c>
      <c r="B1143" s="4">
        <v>45778</v>
      </c>
      <c r="C1143" s="1" t="s">
        <v>2</v>
      </c>
      <c r="D1143" s="1" t="s">
        <v>41</v>
      </c>
      <c r="E1143" s="1" t="s">
        <v>37</v>
      </c>
      <c r="F1143" s="1" t="s">
        <v>54</v>
      </c>
      <c r="G1143" s="1" t="s">
        <v>34</v>
      </c>
      <c r="H1143" s="1">
        <v>1</v>
      </c>
      <c r="I1143" s="1">
        <v>1</v>
      </c>
      <c r="J1143" s="1">
        <v>1</v>
      </c>
      <c r="K1143" s="1">
        <v>1</v>
      </c>
      <c r="L1143" s="1">
        <v>921.72</v>
      </c>
      <c r="M1143" s="1">
        <v>3</v>
      </c>
      <c r="N1143" s="1">
        <f t="shared" si="17"/>
        <v>1</v>
      </c>
      <c r="O1143" s="1">
        <v>0</v>
      </c>
      <c r="P1143" s="1">
        <v>7</v>
      </c>
      <c r="Q1143" s="1">
        <v>74.599999999999994</v>
      </c>
    </row>
    <row r="1144" spans="1:17">
      <c r="A1144" s="1" t="s">
        <v>1185</v>
      </c>
      <c r="B1144" s="4">
        <v>45675</v>
      </c>
      <c r="C1144" s="1" t="s">
        <v>2</v>
      </c>
      <c r="D1144" s="1" t="s">
        <v>41</v>
      </c>
      <c r="E1144" s="1" t="s">
        <v>37</v>
      </c>
      <c r="F1144" s="1" t="s">
        <v>38</v>
      </c>
      <c r="G1144" s="1" t="s">
        <v>39</v>
      </c>
      <c r="H1144" s="1">
        <v>1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f t="shared" si="17"/>
        <v>0</v>
      </c>
      <c r="O1144" s="1">
        <v>0</v>
      </c>
      <c r="P1144" s="1"/>
      <c r="Q1144" s="1">
        <v>46.6</v>
      </c>
    </row>
    <row r="1145" spans="1:17">
      <c r="A1145" s="1" t="s">
        <v>1186</v>
      </c>
      <c r="B1145" s="4">
        <v>45659</v>
      </c>
      <c r="C1145" s="1" t="s">
        <v>2</v>
      </c>
      <c r="D1145" s="1" t="s">
        <v>31</v>
      </c>
      <c r="E1145" s="1" t="s">
        <v>37</v>
      </c>
      <c r="F1145" s="1" t="s">
        <v>42</v>
      </c>
      <c r="G1145" s="1" t="s">
        <v>39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f t="shared" si="17"/>
        <v>0</v>
      </c>
      <c r="O1145" s="1">
        <v>0</v>
      </c>
      <c r="P1145" s="1"/>
      <c r="Q1145" s="1">
        <v>61.2</v>
      </c>
    </row>
    <row r="1146" spans="1:17">
      <c r="A1146" s="1" t="s">
        <v>1187</v>
      </c>
      <c r="B1146" s="4">
        <v>45788</v>
      </c>
      <c r="C1146" s="1" t="s">
        <v>2</v>
      </c>
      <c r="D1146" s="1" t="s">
        <v>36</v>
      </c>
      <c r="E1146" s="1" t="s">
        <v>37</v>
      </c>
      <c r="F1146" s="1" t="s">
        <v>38</v>
      </c>
      <c r="G1146" s="1" t="s">
        <v>39</v>
      </c>
      <c r="H1146" s="1">
        <v>1</v>
      </c>
      <c r="I1146" s="1">
        <v>1</v>
      </c>
      <c r="J1146" s="1">
        <v>1</v>
      </c>
      <c r="K1146" s="1">
        <v>1</v>
      </c>
      <c r="L1146" s="1">
        <v>290.39</v>
      </c>
      <c r="M1146" s="1">
        <v>0</v>
      </c>
      <c r="N1146" s="1">
        <f t="shared" si="17"/>
        <v>0</v>
      </c>
      <c r="O1146" s="1">
        <v>0</v>
      </c>
      <c r="P1146" s="1">
        <v>4</v>
      </c>
      <c r="Q1146" s="1">
        <v>54.4</v>
      </c>
    </row>
    <row r="1147" spans="1:17">
      <c r="A1147" s="1" t="s">
        <v>1188</v>
      </c>
      <c r="B1147" s="4">
        <v>45738</v>
      </c>
      <c r="C1147" s="1" t="s">
        <v>2</v>
      </c>
      <c r="D1147" s="1" t="s">
        <v>31</v>
      </c>
      <c r="E1147" s="1" t="s">
        <v>37</v>
      </c>
      <c r="F1147" s="1" t="s">
        <v>52</v>
      </c>
      <c r="G1147" s="1" t="s">
        <v>39</v>
      </c>
      <c r="H1147" s="1">
        <v>1</v>
      </c>
      <c r="I1147" s="1">
        <v>1</v>
      </c>
      <c r="J1147" s="1">
        <v>1</v>
      </c>
      <c r="K1147" s="1">
        <v>0</v>
      </c>
      <c r="L1147" s="1">
        <v>0</v>
      </c>
      <c r="M1147" s="1">
        <v>0</v>
      </c>
      <c r="N1147" s="1">
        <f t="shared" si="17"/>
        <v>0</v>
      </c>
      <c r="O1147" s="1">
        <v>0</v>
      </c>
      <c r="P1147" s="1"/>
      <c r="Q1147" s="1">
        <v>72</v>
      </c>
    </row>
    <row r="1148" spans="1:17">
      <c r="A1148" s="1" t="s">
        <v>1189</v>
      </c>
      <c r="B1148" s="4">
        <v>45779</v>
      </c>
      <c r="C1148" s="1" t="s">
        <v>2</v>
      </c>
      <c r="D1148" s="1" t="s">
        <v>45</v>
      </c>
      <c r="E1148" s="1" t="s">
        <v>37</v>
      </c>
      <c r="F1148" s="1" t="s">
        <v>54</v>
      </c>
      <c r="G1148" s="1" t="s">
        <v>43</v>
      </c>
      <c r="H1148" s="1">
        <v>1</v>
      </c>
      <c r="I1148" s="1">
        <v>1</v>
      </c>
      <c r="J1148" s="1">
        <v>1</v>
      </c>
      <c r="K1148" s="1">
        <v>1</v>
      </c>
      <c r="L1148" s="1">
        <v>1858.85</v>
      </c>
      <c r="M1148" s="1">
        <v>0</v>
      </c>
      <c r="N1148" s="1">
        <f t="shared" si="17"/>
        <v>0</v>
      </c>
      <c r="O1148" s="1">
        <v>0</v>
      </c>
      <c r="P1148" s="1">
        <v>8</v>
      </c>
      <c r="Q1148" s="1">
        <v>88.6</v>
      </c>
    </row>
    <row r="1149" spans="1:17">
      <c r="A1149" s="1" t="s">
        <v>1190</v>
      </c>
      <c r="B1149" s="4">
        <v>45803</v>
      </c>
      <c r="C1149" s="1" t="s">
        <v>2</v>
      </c>
      <c r="D1149" s="1" t="s">
        <v>41</v>
      </c>
      <c r="E1149" s="1" t="s">
        <v>32</v>
      </c>
      <c r="F1149" s="1"/>
      <c r="G1149" s="1" t="s">
        <v>34</v>
      </c>
      <c r="H1149" s="1">
        <v>1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f t="shared" si="17"/>
        <v>0</v>
      </c>
      <c r="O1149" s="1">
        <v>0</v>
      </c>
      <c r="P1149" s="1"/>
      <c r="Q1149" s="1">
        <v>77.599999999999994</v>
      </c>
    </row>
    <row r="1150" spans="1:17">
      <c r="A1150" s="1" t="s">
        <v>1191</v>
      </c>
      <c r="B1150" s="4">
        <v>45729</v>
      </c>
      <c r="C1150" s="1" t="s">
        <v>2</v>
      </c>
      <c r="D1150" s="1" t="s">
        <v>45</v>
      </c>
      <c r="E1150" s="1" t="s">
        <v>37</v>
      </c>
      <c r="F1150" s="1" t="s">
        <v>38</v>
      </c>
      <c r="G1150" s="1" t="s">
        <v>34</v>
      </c>
      <c r="H1150" s="1">
        <v>1</v>
      </c>
      <c r="I1150" s="1">
        <v>0</v>
      </c>
      <c r="J1150" s="1">
        <v>0</v>
      </c>
      <c r="K1150" s="1">
        <v>0</v>
      </c>
      <c r="L1150" s="1">
        <v>0</v>
      </c>
      <c r="M1150" s="1">
        <v>1</v>
      </c>
      <c r="N1150" s="1">
        <f t="shared" si="17"/>
        <v>1</v>
      </c>
      <c r="O1150" s="1">
        <v>0</v>
      </c>
      <c r="P1150" s="1"/>
      <c r="Q1150" s="1">
        <v>44.3</v>
      </c>
    </row>
    <row r="1151" spans="1:17">
      <c r="A1151" s="1" t="s">
        <v>1192</v>
      </c>
      <c r="B1151" s="4">
        <v>45794</v>
      </c>
      <c r="C1151" s="1" t="s">
        <v>2</v>
      </c>
      <c r="D1151" s="1" t="s">
        <v>45</v>
      </c>
      <c r="E1151" s="1" t="s">
        <v>32</v>
      </c>
      <c r="F1151" s="1" t="s">
        <v>42</v>
      </c>
      <c r="G1151" s="1" t="s">
        <v>39</v>
      </c>
      <c r="H1151" s="1">
        <v>1</v>
      </c>
      <c r="I1151" s="1">
        <v>1</v>
      </c>
      <c r="J1151" s="1">
        <v>0</v>
      </c>
      <c r="K1151" s="1">
        <v>0</v>
      </c>
      <c r="L1151" s="1">
        <v>0</v>
      </c>
      <c r="M1151" s="1">
        <v>0</v>
      </c>
      <c r="N1151" s="1">
        <f t="shared" si="17"/>
        <v>0</v>
      </c>
      <c r="O1151" s="1">
        <v>0</v>
      </c>
      <c r="P1151" s="1"/>
      <c r="Q1151" s="1">
        <v>49</v>
      </c>
    </row>
    <row r="1152" spans="1:17">
      <c r="A1152" s="1" t="s">
        <v>1193</v>
      </c>
      <c r="B1152" s="4">
        <v>45729</v>
      </c>
      <c r="C1152" s="1" t="s">
        <v>2</v>
      </c>
      <c r="D1152" s="1" t="s">
        <v>31</v>
      </c>
      <c r="E1152" s="1" t="s">
        <v>32</v>
      </c>
      <c r="F1152" s="1" t="s">
        <v>52</v>
      </c>
      <c r="G1152" s="1" t="s">
        <v>43</v>
      </c>
      <c r="H1152" s="1">
        <v>1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f t="shared" si="17"/>
        <v>0</v>
      </c>
      <c r="O1152" s="1">
        <v>0</v>
      </c>
      <c r="P1152" s="1"/>
      <c r="Q1152" s="1">
        <v>53.9</v>
      </c>
    </row>
    <row r="1153" spans="1:17">
      <c r="A1153" s="1" t="s">
        <v>1194</v>
      </c>
      <c r="B1153" s="4">
        <v>45699</v>
      </c>
      <c r="C1153" s="1" t="s">
        <v>2</v>
      </c>
      <c r="D1153" s="1" t="s">
        <v>41</v>
      </c>
      <c r="E1153" s="1" t="s">
        <v>32</v>
      </c>
      <c r="F1153" s="1" t="s">
        <v>38</v>
      </c>
      <c r="G1153" s="1" t="s">
        <v>34</v>
      </c>
      <c r="H1153" s="1">
        <v>1</v>
      </c>
      <c r="I1153" s="1">
        <v>0</v>
      </c>
      <c r="J1153" s="1">
        <v>0</v>
      </c>
      <c r="K1153" s="1">
        <v>0</v>
      </c>
      <c r="L1153" s="1">
        <v>0</v>
      </c>
      <c r="M1153" s="1">
        <v>1</v>
      </c>
      <c r="N1153" s="1">
        <f t="shared" si="17"/>
        <v>1</v>
      </c>
      <c r="O1153" s="1">
        <v>0</v>
      </c>
      <c r="P1153" s="1"/>
      <c r="Q1153" s="1">
        <v>69</v>
      </c>
    </row>
    <row r="1154" spans="1:17">
      <c r="A1154" s="1" t="s">
        <v>1195</v>
      </c>
      <c r="B1154" s="4">
        <v>45717</v>
      </c>
      <c r="C1154" s="1" t="s">
        <v>2</v>
      </c>
      <c r="D1154" s="1" t="s">
        <v>36</v>
      </c>
      <c r="E1154" s="1" t="s">
        <v>37</v>
      </c>
      <c r="F1154" s="1" t="s">
        <v>54</v>
      </c>
      <c r="G1154" s="1" t="s">
        <v>39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f t="shared" si="17"/>
        <v>0</v>
      </c>
      <c r="O1154" s="1">
        <v>0</v>
      </c>
      <c r="P1154" s="1"/>
      <c r="Q1154" s="1">
        <v>37.4</v>
      </c>
    </row>
    <row r="1155" spans="1:17">
      <c r="A1155" s="1" t="s">
        <v>1196</v>
      </c>
      <c r="B1155" s="4">
        <v>45762</v>
      </c>
      <c r="C1155" s="1" t="s">
        <v>2</v>
      </c>
      <c r="D1155" s="1" t="s">
        <v>36</v>
      </c>
      <c r="E1155" s="1" t="s">
        <v>37</v>
      </c>
      <c r="F1155" s="1" t="s">
        <v>38</v>
      </c>
      <c r="G1155" s="1" t="s">
        <v>34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f t="shared" ref="N1155:N1218" si="18">IF(M1155&gt;0,1,0)</f>
        <v>0</v>
      </c>
      <c r="O1155" s="1">
        <v>0</v>
      </c>
      <c r="P1155" s="1"/>
      <c r="Q1155" s="1">
        <v>59</v>
      </c>
    </row>
    <row r="1156" spans="1:17">
      <c r="A1156" s="1" t="s">
        <v>1197</v>
      </c>
      <c r="B1156" s="4">
        <v>45690</v>
      </c>
      <c r="C1156" s="1" t="s">
        <v>2</v>
      </c>
      <c r="D1156" s="1" t="s">
        <v>41</v>
      </c>
      <c r="E1156" s="1" t="s">
        <v>37</v>
      </c>
      <c r="F1156" s="1" t="s">
        <v>38</v>
      </c>
      <c r="G1156" s="1" t="s">
        <v>43</v>
      </c>
      <c r="H1156" s="1">
        <v>1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f t="shared" si="18"/>
        <v>0</v>
      </c>
      <c r="O1156" s="1">
        <v>0</v>
      </c>
      <c r="P1156" s="1"/>
      <c r="Q1156" s="1">
        <v>60.8</v>
      </c>
    </row>
    <row r="1157" spans="1:17">
      <c r="A1157" s="1" t="s">
        <v>1198</v>
      </c>
      <c r="B1157" s="4">
        <v>45796</v>
      </c>
      <c r="C1157" s="1" t="s">
        <v>2</v>
      </c>
      <c r="D1157" s="1" t="s">
        <v>45</v>
      </c>
      <c r="E1157" s="1" t="s">
        <v>37</v>
      </c>
      <c r="F1157" s="1" t="s">
        <v>33</v>
      </c>
      <c r="G1157" s="1" t="s">
        <v>39</v>
      </c>
      <c r="H1157" s="1">
        <v>1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f t="shared" si="18"/>
        <v>0</v>
      </c>
      <c r="O1157" s="1">
        <v>0</v>
      </c>
      <c r="P1157" s="1"/>
      <c r="Q1157" s="1">
        <v>57.5</v>
      </c>
    </row>
    <row r="1158" spans="1:17">
      <c r="A1158" s="1" t="s">
        <v>1199</v>
      </c>
      <c r="B1158" s="4">
        <v>45662</v>
      </c>
      <c r="C1158" s="1" t="s">
        <v>2</v>
      </c>
      <c r="D1158" s="1" t="s">
        <v>36</v>
      </c>
      <c r="E1158" s="1" t="s">
        <v>37</v>
      </c>
      <c r="F1158" s="1" t="s">
        <v>52</v>
      </c>
      <c r="G1158" s="1" t="s">
        <v>39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f t="shared" si="18"/>
        <v>0</v>
      </c>
      <c r="O1158" s="1">
        <v>0</v>
      </c>
      <c r="P1158" s="1"/>
      <c r="Q1158" s="1">
        <v>84.2</v>
      </c>
    </row>
    <row r="1159" spans="1:17">
      <c r="A1159" s="1" t="s">
        <v>1200</v>
      </c>
      <c r="B1159" s="4">
        <v>45724</v>
      </c>
      <c r="C1159" s="1" t="s">
        <v>2</v>
      </c>
      <c r="D1159" s="1" t="s">
        <v>45</v>
      </c>
      <c r="E1159" s="1" t="s">
        <v>37</v>
      </c>
      <c r="F1159" s="1" t="s">
        <v>42</v>
      </c>
      <c r="G1159" s="1" t="s">
        <v>39</v>
      </c>
      <c r="H1159" s="1">
        <v>1</v>
      </c>
      <c r="I1159" s="1">
        <v>1</v>
      </c>
      <c r="J1159" s="1">
        <v>0</v>
      </c>
      <c r="K1159" s="1">
        <v>0</v>
      </c>
      <c r="L1159" s="1">
        <v>0</v>
      </c>
      <c r="M1159" s="1">
        <v>0</v>
      </c>
      <c r="N1159" s="1">
        <f t="shared" si="18"/>
        <v>0</v>
      </c>
      <c r="O1159" s="1">
        <v>0</v>
      </c>
      <c r="P1159" s="1"/>
      <c r="Q1159" s="1">
        <v>27.4</v>
      </c>
    </row>
    <row r="1160" spans="1:17">
      <c r="A1160" s="1" t="s">
        <v>1201</v>
      </c>
      <c r="B1160" s="4">
        <v>45728</v>
      </c>
      <c r="C1160" s="1" t="s">
        <v>2</v>
      </c>
      <c r="D1160" s="1" t="s">
        <v>36</v>
      </c>
      <c r="E1160" s="1" t="s">
        <v>37</v>
      </c>
      <c r="F1160" s="1" t="s">
        <v>33</v>
      </c>
      <c r="G1160" s="1" t="s">
        <v>34</v>
      </c>
      <c r="H1160" s="1">
        <v>1</v>
      </c>
      <c r="I1160" s="1">
        <v>0</v>
      </c>
      <c r="J1160" s="1">
        <v>0</v>
      </c>
      <c r="K1160" s="1">
        <v>0</v>
      </c>
      <c r="L1160" s="1">
        <v>0</v>
      </c>
      <c r="M1160" s="1">
        <v>1</v>
      </c>
      <c r="N1160" s="1">
        <f t="shared" si="18"/>
        <v>1</v>
      </c>
      <c r="O1160" s="1">
        <v>0</v>
      </c>
      <c r="P1160" s="1"/>
      <c r="Q1160" s="1">
        <v>67.599999999999994</v>
      </c>
    </row>
    <row r="1161" spans="1:17">
      <c r="A1161" s="1" t="s">
        <v>1202</v>
      </c>
      <c r="B1161" s="4">
        <v>45681</v>
      </c>
      <c r="C1161" s="1" t="s">
        <v>2</v>
      </c>
      <c r="D1161" s="1" t="s">
        <v>36</v>
      </c>
      <c r="E1161" s="1" t="s">
        <v>37</v>
      </c>
      <c r="F1161" s="1" t="s">
        <v>38</v>
      </c>
      <c r="G1161" s="1" t="s">
        <v>39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f t="shared" si="18"/>
        <v>0</v>
      </c>
      <c r="O1161" s="1">
        <v>0</v>
      </c>
      <c r="P1161" s="1"/>
      <c r="Q1161" s="1">
        <v>68.400000000000006</v>
      </c>
    </row>
    <row r="1162" spans="1:17">
      <c r="A1162" s="1" t="s">
        <v>1203</v>
      </c>
      <c r="B1162" s="4">
        <v>45799</v>
      </c>
      <c r="C1162" s="1" t="s">
        <v>2</v>
      </c>
      <c r="D1162" s="1" t="s">
        <v>45</v>
      </c>
      <c r="E1162" s="1" t="s">
        <v>37</v>
      </c>
      <c r="F1162" s="1" t="s">
        <v>42</v>
      </c>
      <c r="G1162" s="1" t="s">
        <v>34</v>
      </c>
      <c r="H1162" s="1">
        <v>1</v>
      </c>
      <c r="I1162" s="1">
        <v>1</v>
      </c>
      <c r="J1162" s="1">
        <v>1</v>
      </c>
      <c r="K1162" s="1">
        <v>0</v>
      </c>
      <c r="L1162" s="1">
        <v>0</v>
      </c>
      <c r="M1162" s="1">
        <v>0</v>
      </c>
      <c r="N1162" s="1">
        <f t="shared" si="18"/>
        <v>0</v>
      </c>
      <c r="O1162" s="1">
        <v>0</v>
      </c>
      <c r="P1162" s="1"/>
      <c r="Q1162" s="1">
        <v>66.5</v>
      </c>
    </row>
    <row r="1163" spans="1:17">
      <c r="A1163" s="1" t="s">
        <v>1204</v>
      </c>
      <c r="B1163" s="4">
        <v>45743</v>
      </c>
      <c r="C1163" s="1" t="s">
        <v>2</v>
      </c>
      <c r="D1163" s="1" t="s">
        <v>45</v>
      </c>
      <c r="E1163" s="1" t="s">
        <v>37</v>
      </c>
      <c r="F1163" s="1" t="s">
        <v>42</v>
      </c>
      <c r="G1163" s="1" t="s">
        <v>39</v>
      </c>
      <c r="H1163" s="1">
        <v>1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f t="shared" si="18"/>
        <v>0</v>
      </c>
      <c r="O1163" s="1">
        <v>0</v>
      </c>
      <c r="P1163" s="1"/>
      <c r="Q1163" s="1">
        <v>38.200000000000003</v>
      </c>
    </row>
    <row r="1164" spans="1:17">
      <c r="A1164" s="1" t="s">
        <v>1205</v>
      </c>
      <c r="B1164" s="4">
        <v>45659</v>
      </c>
      <c r="C1164" s="1" t="s">
        <v>2</v>
      </c>
      <c r="D1164" s="1" t="s">
        <v>36</v>
      </c>
      <c r="E1164" s="1" t="s">
        <v>37</v>
      </c>
      <c r="F1164" s="1" t="s">
        <v>54</v>
      </c>
      <c r="G1164" s="1" t="s">
        <v>39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1</v>
      </c>
      <c r="N1164" s="1">
        <f t="shared" si="18"/>
        <v>1</v>
      </c>
      <c r="O1164" s="1">
        <v>0</v>
      </c>
      <c r="P1164" s="1"/>
      <c r="Q1164" s="1">
        <v>66.7</v>
      </c>
    </row>
    <row r="1165" spans="1:17">
      <c r="A1165" s="1" t="s">
        <v>1206</v>
      </c>
      <c r="B1165" s="4">
        <v>45712</v>
      </c>
      <c r="C1165" s="1" t="s">
        <v>2</v>
      </c>
      <c r="D1165" s="1" t="s">
        <v>31</v>
      </c>
      <c r="E1165" s="1" t="s">
        <v>37</v>
      </c>
      <c r="F1165" s="1" t="s">
        <v>42</v>
      </c>
      <c r="G1165" s="1" t="s">
        <v>39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1</v>
      </c>
      <c r="N1165" s="1">
        <f t="shared" si="18"/>
        <v>1</v>
      </c>
      <c r="O1165" s="1">
        <v>0</v>
      </c>
      <c r="P1165" s="1"/>
      <c r="Q1165" s="1">
        <v>73.7</v>
      </c>
    </row>
    <row r="1166" spans="1:17">
      <c r="A1166" s="1" t="s">
        <v>1207</v>
      </c>
      <c r="B1166" s="4">
        <v>45717</v>
      </c>
      <c r="C1166" s="1" t="s">
        <v>2</v>
      </c>
      <c r="D1166" s="1" t="s">
        <v>36</v>
      </c>
      <c r="E1166" s="1" t="s">
        <v>32</v>
      </c>
      <c r="F1166" s="1" t="s">
        <v>38</v>
      </c>
      <c r="G1166" s="1" t="s">
        <v>34</v>
      </c>
      <c r="H1166" s="1">
        <v>1</v>
      </c>
      <c r="I1166" s="1">
        <v>1</v>
      </c>
      <c r="J1166" s="1">
        <v>1</v>
      </c>
      <c r="K1166" s="1">
        <v>0</v>
      </c>
      <c r="L1166" s="1">
        <v>0</v>
      </c>
      <c r="M1166" s="1">
        <v>0</v>
      </c>
      <c r="N1166" s="1">
        <f t="shared" si="18"/>
        <v>0</v>
      </c>
      <c r="O1166" s="1">
        <v>0</v>
      </c>
      <c r="P1166" s="1"/>
      <c r="Q1166" s="1">
        <v>63.9</v>
      </c>
    </row>
    <row r="1167" spans="1:17">
      <c r="A1167" s="1" t="s">
        <v>1208</v>
      </c>
      <c r="B1167" s="4">
        <v>45742</v>
      </c>
      <c r="C1167" s="1" t="s">
        <v>2</v>
      </c>
      <c r="D1167" s="1" t="s">
        <v>45</v>
      </c>
      <c r="E1167" s="1" t="s">
        <v>47</v>
      </c>
      <c r="F1167" s="1" t="s">
        <v>38</v>
      </c>
      <c r="G1167" s="1" t="s">
        <v>34</v>
      </c>
      <c r="H1167" s="1">
        <v>1</v>
      </c>
      <c r="I1167" s="1">
        <v>0</v>
      </c>
      <c r="J1167" s="1">
        <v>0</v>
      </c>
      <c r="K1167" s="1">
        <v>0</v>
      </c>
      <c r="L1167" s="1">
        <v>0</v>
      </c>
      <c r="M1167" s="1">
        <v>1</v>
      </c>
      <c r="N1167" s="1">
        <f t="shared" si="18"/>
        <v>1</v>
      </c>
      <c r="O1167" s="1">
        <v>0</v>
      </c>
      <c r="P1167" s="1"/>
      <c r="Q1167" s="1">
        <v>82.6</v>
      </c>
    </row>
    <row r="1168" spans="1:17">
      <c r="A1168" s="1" t="s">
        <v>1209</v>
      </c>
      <c r="B1168" s="4">
        <v>45802</v>
      </c>
      <c r="C1168" s="1" t="s">
        <v>2</v>
      </c>
      <c r="D1168" s="1" t="s">
        <v>41</v>
      </c>
      <c r="E1168" s="1" t="s">
        <v>37</v>
      </c>
      <c r="F1168" s="1" t="s">
        <v>42</v>
      </c>
      <c r="G1168" s="1" t="s">
        <v>39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1</v>
      </c>
      <c r="N1168" s="1">
        <f t="shared" si="18"/>
        <v>1</v>
      </c>
      <c r="O1168" s="1">
        <v>0</v>
      </c>
      <c r="P1168" s="1"/>
      <c r="Q1168" s="1">
        <v>58.3</v>
      </c>
    </row>
    <row r="1169" spans="1:17">
      <c r="A1169" s="1" t="s">
        <v>1210</v>
      </c>
      <c r="B1169" s="4">
        <v>45713</v>
      </c>
      <c r="C1169" s="1" t="s">
        <v>2</v>
      </c>
      <c r="D1169" s="1" t="s">
        <v>36</v>
      </c>
      <c r="E1169" s="1" t="s">
        <v>37</v>
      </c>
      <c r="F1169" s="1" t="s">
        <v>52</v>
      </c>
      <c r="G1169" s="1" t="s">
        <v>43</v>
      </c>
      <c r="H1169" s="1">
        <v>1</v>
      </c>
      <c r="I1169" s="1">
        <v>1</v>
      </c>
      <c r="J1169" s="1">
        <v>1</v>
      </c>
      <c r="K1169" s="1">
        <v>1</v>
      </c>
      <c r="L1169" s="1">
        <v>1547.06</v>
      </c>
      <c r="M1169" s="1">
        <v>0</v>
      </c>
      <c r="N1169" s="1">
        <f t="shared" si="18"/>
        <v>0</v>
      </c>
      <c r="O1169" s="1">
        <v>1</v>
      </c>
      <c r="P1169" s="1">
        <v>2</v>
      </c>
      <c r="Q1169" s="1">
        <v>72.900000000000006</v>
      </c>
    </row>
    <row r="1170" spans="1:17">
      <c r="A1170" s="1" t="s">
        <v>1211</v>
      </c>
      <c r="B1170" s="4">
        <v>45739</v>
      </c>
      <c r="C1170" s="1" t="s">
        <v>2</v>
      </c>
      <c r="D1170" s="1" t="s">
        <v>45</v>
      </c>
      <c r="E1170" s="1" t="s">
        <v>37</v>
      </c>
      <c r="F1170" s="1" t="s">
        <v>54</v>
      </c>
      <c r="G1170" s="1" t="s">
        <v>39</v>
      </c>
      <c r="H1170" s="1">
        <v>1</v>
      </c>
      <c r="I1170" s="1">
        <v>1</v>
      </c>
      <c r="J1170" s="1">
        <v>1</v>
      </c>
      <c r="K1170" s="1">
        <v>0</v>
      </c>
      <c r="L1170" s="1">
        <v>0</v>
      </c>
      <c r="M1170" s="1">
        <v>2</v>
      </c>
      <c r="N1170" s="1">
        <f t="shared" si="18"/>
        <v>1</v>
      </c>
      <c r="O1170" s="1">
        <v>0</v>
      </c>
      <c r="P1170" s="1"/>
      <c r="Q1170" s="1">
        <v>53.5</v>
      </c>
    </row>
    <row r="1171" spans="1:17">
      <c r="A1171" s="1" t="s">
        <v>1212</v>
      </c>
      <c r="B1171" s="4">
        <v>45768</v>
      </c>
      <c r="C1171" s="1" t="s">
        <v>2</v>
      </c>
      <c r="D1171" s="1" t="s">
        <v>36</v>
      </c>
      <c r="E1171" s="1" t="s">
        <v>37</v>
      </c>
      <c r="F1171" s="1" t="s">
        <v>52</v>
      </c>
      <c r="G1171" s="1" t="s">
        <v>39</v>
      </c>
      <c r="H1171" s="1">
        <v>1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f t="shared" si="18"/>
        <v>0</v>
      </c>
      <c r="O1171" s="1">
        <v>0</v>
      </c>
      <c r="P1171" s="1"/>
      <c r="Q1171" s="1">
        <v>54.8</v>
      </c>
    </row>
    <row r="1172" spans="1:17">
      <c r="A1172" s="1" t="s">
        <v>1213</v>
      </c>
      <c r="B1172" s="4">
        <v>45798</v>
      </c>
      <c r="C1172" s="1" t="s">
        <v>2</v>
      </c>
      <c r="D1172" s="1" t="s">
        <v>31</v>
      </c>
      <c r="E1172" s="1" t="s">
        <v>37</v>
      </c>
      <c r="F1172" s="1" t="s">
        <v>38</v>
      </c>
      <c r="G1172" s="1" t="s">
        <v>43</v>
      </c>
      <c r="H1172" s="1">
        <v>1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f t="shared" si="18"/>
        <v>0</v>
      </c>
      <c r="O1172" s="1">
        <v>0</v>
      </c>
      <c r="P1172" s="1"/>
      <c r="Q1172" s="1">
        <v>69.5</v>
      </c>
    </row>
    <row r="1173" spans="1:17">
      <c r="A1173" s="1" t="s">
        <v>1214</v>
      </c>
      <c r="B1173" s="4">
        <v>45772</v>
      </c>
      <c r="C1173" s="1" t="s">
        <v>2</v>
      </c>
      <c r="D1173" s="1" t="s">
        <v>31</v>
      </c>
      <c r="E1173" s="1" t="s">
        <v>32</v>
      </c>
      <c r="F1173" s="1" t="s">
        <v>54</v>
      </c>
      <c r="G1173" s="1" t="s">
        <v>39</v>
      </c>
      <c r="H1173" s="1">
        <v>1</v>
      </c>
      <c r="I1173" s="1">
        <v>0</v>
      </c>
      <c r="J1173" s="1">
        <v>0</v>
      </c>
      <c r="K1173" s="1">
        <v>0</v>
      </c>
      <c r="L1173" s="1">
        <v>0</v>
      </c>
      <c r="M1173" s="1">
        <v>1</v>
      </c>
      <c r="N1173" s="1">
        <f t="shared" si="18"/>
        <v>1</v>
      </c>
      <c r="O1173" s="1">
        <v>0</v>
      </c>
      <c r="P1173" s="1"/>
      <c r="Q1173" s="1">
        <v>71.3</v>
      </c>
    </row>
    <row r="1174" spans="1:17">
      <c r="A1174" s="1" t="s">
        <v>1215</v>
      </c>
      <c r="B1174" s="4">
        <v>45800</v>
      </c>
      <c r="C1174" s="1" t="s">
        <v>2</v>
      </c>
      <c r="D1174" s="1" t="s">
        <v>36</v>
      </c>
      <c r="E1174" s="1" t="s">
        <v>37</v>
      </c>
      <c r="F1174" s="1" t="s">
        <v>52</v>
      </c>
      <c r="G1174" s="1" t="s">
        <v>34</v>
      </c>
      <c r="H1174" s="1">
        <v>1</v>
      </c>
      <c r="I1174" s="1">
        <v>0</v>
      </c>
      <c r="J1174" s="1">
        <v>0</v>
      </c>
      <c r="K1174" s="1">
        <v>0</v>
      </c>
      <c r="L1174" s="1">
        <v>0</v>
      </c>
      <c r="M1174" s="1">
        <v>1</v>
      </c>
      <c r="N1174" s="1">
        <f t="shared" si="18"/>
        <v>1</v>
      </c>
      <c r="O1174" s="1">
        <v>0</v>
      </c>
      <c r="P1174" s="1"/>
      <c r="Q1174" s="1">
        <v>57.5</v>
      </c>
    </row>
    <row r="1175" spans="1:17">
      <c r="A1175" s="1" t="s">
        <v>1216</v>
      </c>
      <c r="B1175" s="4">
        <v>45734</v>
      </c>
      <c r="C1175" s="1" t="s">
        <v>2</v>
      </c>
      <c r="D1175" s="1" t="s">
        <v>45</v>
      </c>
      <c r="E1175" s="1" t="s">
        <v>37</v>
      </c>
      <c r="F1175" s="1" t="s">
        <v>33</v>
      </c>
      <c r="G1175" s="1" t="s">
        <v>39</v>
      </c>
      <c r="H1175" s="1">
        <v>1</v>
      </c>
      <c r="I1175" s="1">
        <v>0</v>
      </c>
      <c r="J1175" s="1">
        <v>0</v>
      </c>
      <c r="K1175" s="1">
        <v>0</v>
      </c>
      <c r="L1175" s="1">
        <v>0</v>
      </c>
      <c r="M1175" s="1">
        <v>4</v>
      </c>
      <c r="N1175" s="1">
        <f t="shared" si="18"/>
        <v>1</v>
      </c>
      <c r="O1175" s="1">
        <v>0</v>
      </c>
      <c r="P1175" s="1"/>
      <c r="Q1175" s="1">
        <v>50.9</v>
      </c>
    </row>
    <row r="1176" spans="1:17">
      <c r="A1176" s="1" t="s">
        <v>1217</v>
      </c>
      <c r="B1176" s="4">
        <v>45660</v>
      </c>
      <c r="C1176" s="1" t="s">
        <v>2</v>
      </c>
      <c r="D1176" s="1" t="s">
        <v>45</v>
      </c>
      <c r="E1176" s="1" t="s">
        <v>47</v>
      </c>
      <c r="F1176" s="1" t="s">
        <v>38</v>
      </c>
      <c r="G1176" s="1" t="s">
        <v>39</v>
      </c>
      <c r="H1176" s="1">
        <v>1</v>
      </c>
      <c r="I1176" s="1">
        <v>1</v>
      </c>
      <c r="J1176" s="1">
        <v>1</v>
      </c>
      <c r="K1176" s="1">
        <v>0</v>
      </c>
      <c r="L1176" s="1">
        <v>0</v>
      </c>
      <c r="M1176" s="1">
        <v>0</v>
      </c>
      <c r="N1176" s="1">
        <f t="shared" si="18"/>
        <v>0</v>
      </c>
      <c r="O1176" s="1">
        <v>0</v>
      </c>
      <c r="P1176" s="1"/>
      <c r="Q1176" s="1">
        <v>69.3</v>
      </c>
    </row>
    <row r="1177" spans="1:17">
      <c r="A1177" s="1" t="s">
        <v>1218</v>
      </c>
      <c r="B1177" s="4">
        <v>45696</v>
      </c>
      <c r="C1177" s="1" t="s">
        <v>2</v>
      </c>
      <c r="D1177" s="1" t="s">
        <v>36</v>
      </c>
      <c r="E1177" s="1" t="s">
        <v>32</v>
      </c>
      <c r="F1177" s="1" t="s">
        <v>38</v>
      </c>
      <c r="G1177" s="1" t="s">
        <v>39</v>
      </c>
      <c r="H1177" s="1">
        <v>1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f t="shared" si="18"/>
        <v>0</v>
      </c>
      <c r="O1177" s="1">
        <v>0</v>
      </c>
      <c r="P1177" s="1"/>
      <c r="Q1177" s="1">
        <v>50.1</v>
      </c>
    </row>
    <row r="1178" spans="1:17">
      <c r="A1178" s="1" t="s">
        <v>1219</v>
      </c>
      <c r="B1178" s="4">
        <v>45692</v>
      </c>
      <c r="C1178" s="1" t="s">
        <v>2</v>
      </c>
      <c r="D1178" s="1" t="s">
        <v>41</v>
      </c>
      <c r="E1178" s="1"/>
      <c r="F1178" s="1" t="s">
        <v>42</v>
      </c>
      <c r="G1178" s="1" t="s">
        <v>34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f t="shared" si="18"/>
        <v>0</v>
      </c>
      <c r="O1178" s="1">
        <v>0</v>
      </c>
      <c r="P1178" s="1"/>
      <c r="Q1178" s="1">
        <v>69.7</v>
      </c>
    </row>
    <row r="1179" spans="1:17">
      <c r="A1179" s="1" t="s">
        <v>1220</v>
      </c>
      <c r="B1179" s="4">
        <v>45673</v>
      </c>
      <c r="C1179" s="1" t="s">
        <v>2</v>
      </c>
      <c r="D1179" s="1" t="s">
        <v>31</v>
      </c>
      <c r="E1179" s="1" t="s">
        <v>37</v>
      </c>
      <c r="F1179" s="1" t="s">
        <v>42</v>
      </c>
      <c r="G1179" s="1" t="s">
        <v>39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f t="shared" si="18"/>
        <v>0</v>
      </c>
      <c r="O1179" s="1">
        <v>0</v>
      </c>
      <c r="P1179" s="1"/>
      <c r="Q1179" s="1">
        <v>63.5</v>
      </c>
    </row>
    <row r="1180" spans="1:17">
      <c r="A1180" s="1" t="s">
        <v>1221</v>
      </c>
      <c r="B1180" s="4">
        <v>45751</v>
      </c>
      <c r="C1180" s="1" t="s">
        <v>2</v>
      </c>
      <c r="D1180" s="1" t="s">
        <v>36</v>
      </c>
      <c r="E1180" s="1" t="s">
        <v>32</v>
      </c>
      <c r="F1180" s="1" t="s">
        <v>42</v>
      </c>
      <c r="G1180" s="1" t="s">
        <v>39</v>
      </c>
      <c r="H1180" s="1">
        <v>1</v>
      </c>
      <c r="I1180" s="1">
        <v>1</v>
      </c>
      <c r="J1180" s="1">
        <v>1</v>
      </c>
      <c r="K1180" s="1">
        <v>1</v>
      </c>
      <c r="L1180" s="1">
        <v>265.58999999999997</v>
      </c>
      <c r="M1180" s="1">
        <v>1</v>
      </c>
      <c r="N1180" s="1">
        <f t="shared" si="18"/>
        <v>1</v>
      </c>
      <c r="O1180" s="1">
        <v>0</v>
      </c>
      <c r="P1180" s="1">
        <v>8</v>
      </c>
      <c r="Q1180" s="1">
        <v>80.400000000000006</v>
      </c>
    </row>
    <row r="1181" spans="1:17">
      <c r="A1181" s="1" t="s">
        <v>1222</v>
      </c>
      <c r="B1181" s="4">
        <v>45680</v>
      </c>
      <c r="C1181" s="1" t="s">
        <v>2</v>
      </c>
      <c r="D1181" s="1" t="s">
        <v>31</v>
      </c>
      <c r="E1181" s="1" t="s">
        <v>32</v>
      </c>
      <c r="F1181" s="1" t="s">
        <v>42</v>
      </c>
      <c r="G1181" s="1" t="s">
        <v>39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f t="shared" si="18"/>
        <v>0</v>
      </c>
      <c r="O1181" s="1">
        <v>0</v>
      </c>
      <c r="P1181" s="1"/>
      <c r="Q1181" s="1">
        <v>58.9</v>
      </c>
    </row>
    <row r="1182" spans="1:17">
      <c r="A1182" s="1" t="s">
        <v>1223</v>
      </c>
      <c r="B1182" s="4">
        <v>45738</v>
      </c>
      <c r="C1182" s="1" t="s">
        <v>2</v>
      </c>
      <c r="D1182" s="1" t="s">
        <v>45</v>
      </c>
      <c r="E1182" s="1" t="s">
        <v>32</v>
      </c>
      <c r="F1182" s="1" t="s">
        <v>42</v>
      </c>
      <c r="G1182" s="1" t="s">
        <v>39</v>
      </c>
      <c r="H1182" s="1">
        <v>1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f t="shared" si="18"/>
        <v>0</v>
      </c>
      <c r="O1182" s="1">
        <v>0</v>
      </c>
      <c r="P1182" s="1"/>
      <c r="Q1182" s="1">
        <v>56.8</v>
      </c>
    </row>
    <row r="1183" spans="1:17">
      <c r="A1183" s="1" t="s">
        <v>1224</v>
      </c>
      <c r="B1183" s="4">
        <v>45690</v>
      </c>
      <c r="C1183" s="1" t="s">
        <v>2</v>
      </c>
      <c r="D1183" s="1" t="s">
        <v>41</v>
      </c>
      <c r="E1183" s="1" t="s">
        <v>47</v>
      </c>
      <c r="F1183" s="1" t="s">
        <v>54</v>
      </c>
      <c r="G1183" s="1" t="s">
        <v>43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f t="shared" si="18"/>
        <v>0</v>
      </c>
      <c r="O1183" s="1">
        <v>0</v>
      </c>
      <c r="P1183" s="1"/>
      <c r="Q1183" s="1">
        <v>73.900000000000006</v>
      </c>
    </row>
    <row r="1184" spans="1:17">
      <c r="A1184" s="1" t="s">
        <v>1225</v>
      </c>
      <c r="B1184" s="4">
        <v>45688</v>
      </c>
      <c r="C1184" s="1" t="s">
        <v>2</v>
      </c>
      <c r="D1184" s="1" t="s">
        <v>31</v>
      </c>
      <c r="E1184" s="1" t="s">
        <v>32</v>
      </c>
      <c r="F1184" s="1" t="s">
        <v>42</v>
      </c>
      <c r="G1184" s="1" t="s">
        <v>39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f t="shared" si="18"/>
        <v>0</v>
      </c>
      <c r="O1184" s="1">
        <v>0</v>
      </c>
      <c r="P1184" s="1"/>
      <c r="Q1184" s="1">
        <v>76.3</v>
      </c>
    </row>
    <row r="1185" spans="1:17">
      <c r="A1185" s="1" t="s">
        <v>1226</v>
      </c>
      <c r="B1185" s="4">
        <v>45804</v>
      </c>
      <c r="C1185" s="1" t="s">
        <v>2</v>
      </c>
      <c r="D1185" s="1" t="s">
        <v>36</v>
      </c>
      <c r="E1185" s="1" t="s">
        <v>37</v>
      </c>
      <c r="F1185" s="1" t="s">
        <v>38</v>
      </c>
      <c r="G1185" s="1" t="s">
        <v>34</v>
      </c>
      <c r="H1185" s="1">
        <v>1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f t="shared" si="18"/>
        <v>0</v>
      </c>
      <c r="O1185" s="1">
        <v>0</v>
      </c>
      <c r="P1185" s="1"/>
      <c r="Q1185" s="1">
        <v>56.9</v>
      </c>
    </row>
    <row r="1186" spans="1:17">
      <c r="A1186" s="1" t="s">
        <v>1227</v>
      </c>
      <c r="B1186" s="4">
        <v>45784</v>
      </c>
      <c r="C1186" s="1" t="s">
        <v>2</v>
      </c>
      <c r="D1186" s="1" t="s">
        <v>31</v>
      </c>
      <c r="E1186" s="1" t="s">
        <v>37</v>
      </c>
      <c r="F1186" s="1" t="s">
        <v>38</v>
      </c>
      <c r="G1186" s="1" t="s">
        <v>43</v>
      </c>
      <c r="H1186" s="1">
        <v>1</v>
      </c>
      <c r="I1186" s="1">
        <v>0</v>
      </c>
      <c r="J1186" s="1">
        <v>0</v>
      </c>
      <c r="K1186" s="1">
        <v>0</v>
      </c>
      <c r="L1186" s="1">
        <v>0</v>
      </c>
      <c r="M1186" s="1">
        <v>2</v>
      </c>
      <c r="N1186" s="1">
        <f t="shared" si="18"/>
        <v>1</v>
      </c>
      <c r="O1186" s="1">
        <v>0</v>
      </c>
      <c r="P1186" s="1"/>
      <c r="Q1186" s="1">
        <v>49.4</v>
      </c>
    </row>
    <row r="1187" spans="1:17">
      <c r="A1187" s="1" t="s">
        <v>1228</v>
      </c>
      <c r="B1187" s="4">
        <v>45785</v>
      </c>
      <c r="C1187" s="1" t="s">
        <v>2</v>
      </c>
      <c r="D1187" s="1" t="s">
        <v>31</v>
      </c>
      <c r="E1187" s="1" t="s">
        <v>32</v>
      </c>
      <c r="F1187" s="1" t="s">
        <v>42</v>
      </c>
      <c r="G1187" s="1" t="s">
        <v>34</v>
      </c>
      <c r="H1187" s="1">
        <v>1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f t="shared" si="18"/>
        <v>0</v>
      </c>
      <c r="O1187" s="1">
        <v>0</v>
      </c>
      <c r="P1187" s="1"/>
      <c r="Q1187" s="1">
        <v>86.7</v>
      </c>
    </row>
    <row r="1188" spans="1:17">
      <c r="A1188" s="1" t="s">
        <v>1229</v>
      </c>
      <c r="B1188" s="4">
        <v>45672</v>
      </c>
      <c r="C1188" s="1" t="s">
        <v>2</v>
      </c>
      <c r="D1188" s="1" t="s">
        <v>36</v>
      </c>
      <c r="E1188" s="1" t="s">
        <v>32</v>
      </c>
      <c r="F1188" s="1" t="s">
        <v>33</v>
      </c>
      <c r="G1188" s="1" t="s">
        <v>39</v>
      </c>
      <c r="H1188" s="1">
        <v>1</v>
      </c>
      <c r="I1188" s="1">
        <v>0</v>
      </c>
      <c r="J1188" s="1">
        <v>0</v>
      </c>
      <c r="K1188" s="1">
        <v>0</v>
      </c>
      <c r="L1188" s="1">
        <v>0</v>
      </c>
      <c r="M1188" s="1">
        <v>3</v>
      </c>
      <c r="N1188" s="1">
        <f t="shared" si="18"/>
        <v>1</v>
      </c>
      <c r="O1188" s="1">
        <v>0</v>
      </c>
      <c r="P1188" s="1"/>
      <c r="Q1188" s="1">
        <v>69</v>
      </c>
    </row>
    <row r="1189" spans="1:17">
      <c r="A1189" s="1" t="s">
        <v>1230</v>
      </c>
      <c r="B1189" s="4">
        <v>45675</v>
      </c>
      <c r="C1189" s="1" t="s">
        <v>2</v>
      </c>
      <c r="D1189" s="1" t="s">
        <v>31</v>
      </c>
      <c r="E1189" s="1" t="s">
        <v>37</v>
      </c>
      <c r="F1189" s="1" t="s">
        <v>42</v>
      </c>
      <c r="G1189" s="1" t="s">
        <v>39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f t="shared" si="18"/>
        <v>0</v>
      </c>
      <c r="O1189" s="1">
        <v>0</v>
      </c>
      <c r="P1189" s="1"/>
      <c r="Q1189" s="1">
        <v>84.5</v>
      </c>
    </row>
    <row r="1190" spans="1:17">
      <c r="A1190" s="1" t="s">
        <v>1231</v>
      </c>
      <c r="B1190" s="4">
        <v>45763</v>
      </c>
      <c r="C1190" s="1" t="s">
        <v>2</v>
      </c>
      <c r="D1190" s="1" t="s">
        <v>41</v>
      </c>
      <c r="E1190" s="1"/>
      <c r="F1190" s="1" t="s">
        <v>52</v>
      </c>
      <c r="G1190" s="1" t="s">
        <v>39</v>
      </c>
      <c r="H1190" s="1">
        <v>1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f t="shared" si="18"/>
        <v>0</v>
      </c>
      <c r="O1190" s="1">
        <v>0</v>
      </c>
      <c r="P1190" s="1"/>
      <c r="Q1190" s="1">
        <v>66.3</v>
      </c>
    </row>
    <row r="1191" spans="1:17">
      <c r="A1191" s="1" t="s">
        <v>1232</v>
      </c>
      <c r="B1191" s="4">
        <v>45704</v>
      </c>
      <c r="C1191" s="1" t="s">
        <v>2</v>
      </c>
      <c r="D1191" s="1" t="s">
        <v>41</v>
      </c>
      <c r="E1191" s="1" t="s">
        <v>32</v>
      </c>
      <c r="F1191" s="1" t="s">
        <v>42</v>
      </c>
      <c r="G1191" s="1" t="s">
        <v>39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f t="shared" si="18"/>
        <v>0</v>
      </c>
      <c r="O1191" s="1">
        <v>0</v>
      </c>
      <c r="P1191" s="1"/>
      <c r="Q1191" s="1">
        <v>52.2</v>
      </c>
    </row>
    <row r="1192" spans="1:17">
      <c r="A1192" s="1" t="s">
        <v>1233</v>
      </c>
      <c r="B1192" s="4">
        <v>45764</v>
      </c>
      <c r="C1192" s="1" t="s">
        <v>2</v>
      </c>
      <c r="D1192" s="1" t="s">
        <v>45</v>
      </c>
      <c r="E1192" s="1" t="s">
        <v>32</v>
      </c>
      <c r="F1192" s="1" t="s">
        <v>52</v>
      </c>
      <c r="G1192" s="1" t="s">
        <v>43</v>
      </c>
      <c r="H1192" s="1">
        <v>1</v>
      </c>
      <c r="I1192" s="1">
        <v>1</v>
      </c>
      <c r="J1192" s="1">
        <v>1</v>
      </c>
      <c r="K1192" s="1">
        <v>0</v>
      </c>
      <c r="L1192" s="1">
        <v>0</v>
      </c>
      <c r="M1192" s="1">
        <v>0</v>
      </c>
      <c r="N1192" s="1">
        <f t="shared" si="18"/>
        <v>0</v>
      </c>
      <c r="O1192" s="1">
        <v>0</v>
      </c>
      <c r="P1192" s="1"/>
      <c r="Q1192" s="1">
        <v>81.2</v>
      </c>
    </row>
    <row r="1193" spans="1:17">
      <c r="A1193" s="1" t="s">
        <v>1234</v>
      </c>
      <c r="B1193" s="4">
        <v>45777</v>
      </c>
      <c r="C1193" s="1" t="s">
        <v>2</v>
      </c>
      <c r="D1193" s="1" t="s">
        <v>45</v>
      </c>
      <c r="E1193" s="1" t="s">
        <v>37</v>
      </c>
      <c r="F1193" s="1" t="s">
        <v>38</v>
      </c>
      <c r="G1193" s="1" t="s">
        <v>34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f t="shared" si="18"/>
        <v>0</v>
      </c>
      <c r="O1193" s="1">
        <v>0</v>
      </c>
      <c r="P1193" s="1"/>
      <c r="Q1193" s="1">
        <v>53.9</v>
      </c>
    </row>
    <row r="1194" spans="1:17">
      <c r="A1194" s="1" t="s">
        <v>1235</v>
      </c>
      <c r="B1194" s="4">
        <v>45686</v>
      </c>
      <c r="C1194" s="1" t="s">
        <v>2</v>
      </c>
      <c r="D1194" s="1" t="s">
        <v>36</v>
      </c>
      <c r="E1194" s="1" t="s">
        <v>37</v>
      </c>
      <c r="F1194" s="1" t="s">
        <v>54</v>
      </c>
      <c r="G1194" s="1" t="s">
        <v>43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f t="shared" si="18"/>
        <v>0</v>
      </c>
      <c r="O1194" s="1">
        <v>0</v>
      </c>
      <c r="P1194" s="1"/>
      <c r="Q1194" s="1">
        <v>39.1</v>
      </c>
    </row>
    <row r="1195" spans="1:17">
      <c r="A1195" s="1" t="s">
        <v>1236</v>
      </c>
      <c r="B1195" s="4">
        <v>45668</v>
      </c>
      <c r="C1195" s="1" t="s">
        <v>2</v>
      </c>
      <c r="D1195" s="1" t="s">
        <v>31</v>
      </c>
      <c r="E1195" s="1" t="s">
        <v>37</v>
      </c>
      <c r="F1195" s="1" t="s">
        <v>54</v>
      </c>
      <c r="G1195" s="1" t="s">
        <v>34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f t="shared" si="18"/>
        <v>0</v>
      </c>
      <c r="O1195" s="1">
        <v>0</v>
      </c>
      <c r="P1195" s="1"/>
      <c r="Q1195" s="1">
        <v>57.3</v>
      </c>
    </row>
    <row r="1196" spans="1:17">
      <c r="A1196" s="1" t="s">
        <v>1237</v>
      </c>
      <c r="B1196" s="4">
        <v>45755</v>
      </c>
      <c r="C1196" s="1" t="s">
        <v>2</v>
      </c>
      <c r="D1196" s="1" t="s">
        <v>41</v>
      </c>
      <c r="E1196" s="1" t="s">
        <v>32</v>
      </c>
      <c r="F1196" s="1" t="s">
        <v>42</v>
      </c>
      <c r="G1196" s="1" t="s">
        <v>43</v>
      </c>
      <c r="H1196" s="1">
        <v>1</v>
      </c>
      <c r="I1196" s="1">
        <v>0</v>
      </c>
      <c r="J1196" s="1">
        <v>0</v>
      </c>
      <c r="K1196" s="1">
        <v>0</v>
      </c>
      <c r="L1196" s="1">
        <v>0</v>
      </c>
      <c r="M1196" s="1">
        <v>1</v>
      </c>
      <c r="N1196" s="1">
        <f t="shared" si="18"/>
        <v>1</v>
      </c>
      <c r="O1196" s="1">
        <v>0</v>
      </c>
      <c r="P1196" s="1"/>
      <c r="Q1196" s="1">
        <v>65.900000000000006</v>
      </c>
    </row>
    <row r="1197" spans="1:17">
      <c r="A1197" s="1" t="s">
        <v>1238</v>
      </c>
      <c r="B1197" s="4">
        <v>45710</v>
      </c>
      <c r="C1197" s="1" t="s">
        <v>2</v>
      </c>
      <c r="D1197" s="1" t="s">
        <v>31</v>
      </c>
      <c r="E1197" s="1"/>
      <c r="F1197" s="1" t="s">
        <v>54</v>
      </c>
      <c r="G1197" s="1" t="s">
        <v>39</v>
      </c>
      <c r="H1197" s="1">
        <v>1</v>
      </c>
      <c r="I1197" s="1">
        <v>0</v>
      </c>
      <c r="J1197" s="1">
        <v>0</v>
      </c>
      <c r="K1197" s="1">
        <v>0</v>
      </c>
      <c r="L1197" s="1">
        <v>0</v>
      </c>
      <c r="M1197" s="1">
        <v>1</v>
      </c>
      <c r="N1197" s="1">
        <f t="shared" si="18"/>
        <v>1</v>
      </c>
      <c r="O1197" s="1">
        <v>0</v>
      </c>
      <c r="P1197" s="1"/>
      <c r="Q1197" s="1">
        <v>34.200000000000003</v>
      </c>
    </row>
    <row r="1198" spans="1:17">
      <c r="A1198" s="1" t="s">
        <v>1239</v>
      </c>
      <c r="B1198" s="4">
        <v>45739</v>
      </c>
      <c r="C1198" s="1" t="s">
        <v>2</v>
      </c>
      <c r="D1198" s="1" t="s">
        <v>45</v>
      </c>
      <c r="E1198" s="1" t="s">
        <v>37</v>
      </c>
      <c r="F1198" s="1" t="s">
        <v>38</v>
      </c>
      <c r="G1198" s="1" t="s">
        <v>39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f t="shared" si="18"/>
        <v>0</v>
      </c>
      <c r="O1198" s="1">
        <v>0</v>
      </c>
      <c r="P1198" s="1"/>
      <c r="Q1198" s="1">
        <v>47.2</v>
      </c>
    </row>
    <row r="1199" spans="1:17">
      <c r="A1199" s="1" t="s">
        <v>1240</v>
      </c>
      <c r="B1199" s="4">
        <v>45800</v>
      </c>
      <c r="C1199" s="1" t="s">
        <v>2</v>
      </c>
      <c r="D1199" s="1" t="s">
        <v>45</v>
      </c>
      <c r="E1199" s="1" t="s">
        <v>47</v>
      </c>
      <c r="F1199" s="1" t="s">
        <v>42</v>
      </c>
      <c r="G1199" s="1" t="s">
        <v>39</v>
      </c>
      <c r="H1199" s="1">
        <v>1</v>
      </c>
      <c r="I1199" s="1">
        <v>0</v>
      </c>
      <c r="J1199" s="1">
        <v>0</v>
      </c>
      <c r="K1199" s="1">
        <v>0</v>
      </c>
      <c r="L1199" s="1">
        <v>0</v>
      </c>
      <c r="M1199" s="1">
        <v>1</v>
      </c>
      <c r="N1199" s="1">
        <f t="shared" si="18"/>
        <v>1</v>
      </c>
      <c r="O1199" s="1">
        <v>0</v>
      </c>
      <c r="P1199" s="1"/>
      <c r="Q1199" s="1">
        <v>55</v>
      </c>
    </row>
    <row r="1200" spans="1:17">
      <c r="A1200" s="1" t="s">
        <v>1241</v>
      </c>
      <c r="B1200" s="4">
        <v>45774</v>
      </c>
      <c r="C1200" s="1" t="s">
        <v>2</v>
      </c>
      <c r="D1200" s="1" t="s">
        <v>36</v>
      </c>
      <c r="E1200" s="1" t="s">
        <v>37</v>
      </c>
      <c r="F1200" s="1" t="s">
        <v>52</v>
      </c>
      <c r="G1200" s="1" t="s">
        <v>34</v>
      </c>
      <c r="H1200" s="1">
        <v>1</v>
      </c>
      <c r="I1200" s="1">
        <v>1</v>
      </c>
      <c r="J1200" s="1">
        <v>1</v>
      </c>
      <c r="K1200" s="1">
        <v>0</v>
      </c>
      <c r="L1200" s="1">
        <v>0</v>
      </c>
      <c r="M1200" s="1">
        <v>0</v>
      </c>
      <c r="N1200" s="1">
        <f t="shared" si="18"/>
        <v>0</v>
      </c>
      <c r="O1200" s="1">
        <v>0</v>
      </c>
      <c r="P1200" s="1"/>
      <c r="Q1200" s="1">
        <v>76.400000000000006</v>
      </c>
    </row>
    <row r="1201" spans="1:17">
      <c r="A1201" s="1" t="s">
        <v>1242</v>
      </c>
      <c r="B1201" s="4">
        <v>45803</v>
      </c>
      <c r="C1201" s="1" t="s">
        <v>2</v>
      </c>
      <c r="D1201" s="1" t="s">
        <v>31</v>
      </c>
      <c r="E1201" s="1" t="s">
        <v>37</v>
      </c>
      <c r="F1201" s="1" t="s">
        <v>52</v>
      </c>
      <c r="G1201" s="1" t="s">
        <v>39</v>
      </c>
      <c r="H1201" s="1">
        <v>1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f t="shared" si="18"/>
        <v>0</v>
      </c>
      <c r="O1201" s="1">
        <v>0</v>
      </c>
      <c r="P1201" s="1"/>
      <c r="Q1201" s="1">
        <v>70.8</v>
      </c>
    </row>
    <row r="1202" spans="1:17">
      <c r="A1202" s="1" t="s">
        <v>1243</v>
      </c>
      <c r="B1202" s="4">
        <v>45722</v>
      </c>
      <c r="C1202" s="1" t="s">
        <v>2</v>
      </c>
      <c r="D1202" s="1" t="s">
        <v>41</v>
      </c>
      <c r="E1202" s="1" t="s">
        <v>37</v>
      </c>
      <c r="F1202" s="1" t="s">
        <v>42</v>
      </c>
      <c r="G1202" s="1" t="s">
        <v>34</v>
      </c>
      <c r="H1202" s="1">
        <v>1</v>
      </c>
      <c r="I1202" s="1">
        <v>1</v>
      </c>
      <c r="J1202" s="1">
        <v>0</v>
      </c>
      <c r="K1202" s="1">
        <v>0</v>
      </c>
      <c r="L1202" s="1">
        <v>0</v>
      </c>
      <c r="M1202" s="1">
        <v>1</v>
      </c>
      <c r="N1202" s="1">
        <f t="shared" si="18"/>
        <v>1</v>
      </c>
      <c r="O1202" s="1">
        <v>0</v>
      </c>
      <c r="P1202" s="1"/>
      <c r="Q1202" s="1">
        <v>58</v>
      </c>
    </row>
    <row r="1203" spans="1:17">
      <c r="A1203" s="1" t="s">
        <v>1244</v>
      </c>
      <c r="B1203" s="4">
        <v>45750</v>
      </c>
      <c r="C1203" s="1" t="s">
        <v>2</v>
      </c>
      <c r="D1203" s="1" t="s">
        <v>36</v>
      </c>
      <c r="E1203" s="1" t="s">
        <v>37</v>
      </c>
      <c r="F1203" s="1" t="s">
        <v>38</v>
      </c>
      <c r="G1203" s="1" t="s">
        <v>34</v>
      </c>
      <c r="H1203" s="1">
        <v>1</v>
      </c>
      <c r="I1203" s="1">
        <v>1</v>
      </c>
      <c r="J1203" s="1">
        <v>1</v>
      </c>
      <c r="K1203" s="1">
        <v>0</v>
      </c>
      <c r="L1203" s="1">
        <v>0</v>
      </c>
      <c r="M1203" s="1">
        <v>1</v>
      </c>
      <c r="N1203" s="1">
        <f t="shared" si="18"/>
        <v>1</v>
      </c>
      <c r="O1203" s="1">
        <v>0</v>
      </c>
      <c r="P1203" s="1"/>
      <c r="Q1203" s="1">
        <v>70.8</v>
      </c>
    </row>
    <row r="1204" spans="1:17">
      <c r="A1204" s="1" t="s">
        <v>1245</v>
      </c>
      <c r="B1204" s="4">
        <v>45689</v>
      </c>
      <c r="C1204" s="1" t="s">
        <v>2</v>
      </c>
      <c r="D1204" s="1" t="s">
        <v>41</v>
      </c>
      <c r="E1204" s="1" t="s">
        <v>32</v>
      </c>
      <c r="F1204" s="1" t="s">
        <v>42</v>
      </c>
      <c r="G1204" s="1" t="s">
        <v>39</v>
      </c>
      <c r="H1204" s="1">
        <v>1</v>
      </c>
      <c r="I1204" s="1">
        <v>0</v>
      </c>
      <c r="J1204" s="1">
        <v>0</v>
      </c>
      <c r="K1204" s="1">
        <v>0</v>
      </c>
      <c r="L1204" s="1">
        <v>0</v>
      </c>
      <c r="M1204" s="1">
        <v>3</v>
      </c>
      <c r="N1204" s="1">
        <f t="shared" si="18"/>
        <v>1</v>
      </c>
      <c r="O1204" s="1">
        <v>0</v>
      </c>
      <c r="P1204" s="1"/>
      <c r="Q1204" s="1">
        <v>60</v>
      </c>
    </row>
    <row r="1205" spans="1:17">
      <c r="A1205" s="1" t="s">
        <v>1246</v>
      </c>
      <c r="B1205" s="4">
        <v>45778</v>
      </c>
      <c r="C1205" s="1" t="s">
        <v>2</v>
      </c>
      <c r="D1205" s="1" t="s">
        <v>36</v>
      </c>
      <c r="E1205" s="1" t="s">
        <v>37</v>
      </c>
      <c r="F1205" s="1" t="s">
        <v>52</v>
      </c>
      <c r="G1205" s="1" t="s">
        <v>43</v>
      </c>
      <c r="H1205" s="1">
        <v>1</v>
      </c>
      <c r="I1205" s="1">
        <v>1</v>
      </c>
      <c r="J1205" s="1">
        <v>1</v>
      </c>
      <c r="K1205" s="1">
        <v>0</v>
      </c>
      <c r="L1205" s="1">
        <v>0</v>
      </c>
      <c r="M1205" s="1">
        <v>3</v>
      </c>
      <c r="N1205" s="1">
        <f t="shared" si="18"/>
        <v>1</v>
      </c>
      <c r="O1205" s="1">
        <v>0</v>
      </c>
      <c r="P1205" s="1"/>
      <c r="Q1205" s="1">
        <v>58.1</v>
      </c>
    </row>
    <row r="1206" spans="1:17">
      <c r="A1206" s="1" t="s">
        <v>1247</v>
      </c>
      <c r="B1206" s="4">
        <v>45760</v>
      </c>
      <c r="C1206" s="1" t="s">
        <v>2</v>
      </c>
      <c r="D1206" s="1" t="s">
        <v>31</v>
      </c>
      <c r="E1206" s="1" t="s">
        <v>37</v>
      </c>
      <c r="F1206" s="1" t="s">
        <v>54</v>
      </c>
      <c r="G1206" s="1" t="s">
        <v>43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f t="shared" si="18"/>
        <v>0</v>
      </c>
      <c r="O1206" s="1">
        <v>0</v>
      </c>
      <c r="P1206" s="1"/>
      <c r="Q1206" s="1">
        <v>59.7</v>
      </c>
    </row>
    <row r="1207" spans="1:17">
      <c r="A1207" s="1" t="s">
        <v>1248</v>
      </c>
      <c r="B1207" s="4">
        <v>45682</v>
      </c>
      <c r="C1207" s="1" t="s">
        <v>2</v>
      </c>
      <c r="D1207" s="1" t="s">
        <v>41</v>
      </c>
      <c r="E1207" s="1" t="s">
        <v>37</v>
      </c>
      <c r="F1207" s="1" t="s">
        <v>54</v>
      </c>
      <c r="G1207" s="1" t="s">
        <v>39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f t="shared" si="18"/>
        <v>0</v>
      </c>
      <c r="O1207" s="1">
        <v>0</v>
      </c>
      <c r="P1207" s="1"/>
      <c r="Q1207" s="1">
        <v>47.7</v>
      </c>
    </row>
    <row r="1208" spans="1:17">
      <c r="A1208" s="1" t="s">
        <v>1249</v>
      </c>
      <c r="B1208" s="4">
        <v>45733</v>
      </c>
      <c r="C1208" s="1" t="s">
        <v>2</v>
      </c>
      <c r="D1208" s="1" t="s">
        <v>31</v>
      </c>
      <c r="E1208" s="1" t="s">
        <v>37</v>
      </c>
      <c r="F1208" s="1" t="s">
        <v>38</v>
      </c>
      <c r="G1208" s="1" t="s">
        <v>39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f t="shared" si="18"/>
        <v>0</v>
      </c>
      <c r="O1208" s="1">
        <v>0</v>
      </c>
      <c r="P1208" s="1"/>
      <c r="Q1208" s="1">
        <v>59.1</v>
      </c>
    </row>
    <row r="1209" spans="1:17">
      <c r="A1209" s="1" t="s">
        <v>1250</v>
      </c>
      <c r="B1209" s="4">
        <v>45709</v>
      </c>
      <c r="C1209" s="1" t="s">
        <v>2</v>
      </c>
      <c r="D1209" s="1" t="s">
        <v>36</v>
      </c>
      <c r="E1209" s="1" t="s">
        <v>32</v>
      </c>
      <c r="F1209" s="1" t="s">
        <v>54</v>
      </c>
      <c r="G1209" s="1" t="s">
        <v>34</v>
      </c>
      <c r="H1209" s="1">
        <v>1</v>
      </c>
      <c r="I1209" s="1">
        <v>0</v>
      </c>
      <c r="J1209" s="1">
        <v>0</v>
      </c>
      <c r="K1209" s="1">
        <v>0</v>
      </c>
      <c r="L1209" s="1">
        <v>0</v>
      </c>
      <c r="M1209" s="1">
        <v>1</v>
      </c>
      <c r="N1209" s="1">
        <f t="shared" si="18"/>
        <v>1</v>
      </c>
      <c r="O1209" s="1">
        <v>0</v>
      </c>
      <c r="P1209" s="1"/>
      <c r="Q1209" s="1">
        <v>68.7</v>
      </c>
    </row>
    <row r="1210" spans="1:17">
      <c r="A1210" s="1" t="s">
        <v>1251</v>
      </c>
      <c r="B1210" s="4">
        <v>45755</v>
      </c>
      <c r="C1210" s="1" t="s">
        <v>2</v>
      </c>
      <c r="D1210" s="1" t="s">
        <v>41</v>
      </c>
      <c r="E1210" s="1" t="s">
        <v>47</v>
      </c>
      <c r="F1210" s="1" t="s">
        <v>38</v>
      </c>
      <c r="G1210" s="1" t="s">
        <v>34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f t="shared" si="18"/>
        <v>0</v>
      </c>
      <c r="O1210" s="1">
        <v>0</v>
      </c>
      <c r="P1210" s="1"/>
      <c r="Q1210" s="1">
        <v>34.700000000000003</v>
      </c>
    </row>
    <row r="1211" spans="1:17">
      <c r="A1211" s="1" t="s">
        <v>1101</v>
      </c>
      <c r="B1211" s="4">
        <v>45799</v>
      </c>
      <c r="C1211" s="1" t="s">
        <v>1</v>
      </c>
      <c r="D1211" s="1" t="s">
        <v>31</v>
      </c>
      <c r="E1211" s="1" t="s">
        <v>37</v>
      </c>
      <c r="F1211" s="1" t="s">
        <v>42</v>
      </c>
      <c r="G1211" s="1" t="s">
        <v>34</v>
      </c>
      <c r="H1211" s="1">
        <v>1</v>
      </c>
      <c r="I1211" s="1">
        <v>1</v>
      </c>
      <c r="J1211" s="1">
        <v>0</v>
      </c>
      <c r="K1211" s="1">
        <v>0</v>
      </c>
      <c r="L1211" s="1">
        <v>0</v>
      </c>
      <c r="M1211" s="1">
        <v>0</v>
      </c>
      <c r="N1211" s="1">
        <f t="shared" si="18"/>
        <v>0</v>
      </c>
      <c r="O1211" s="1">
        <v>0</v>
      </c>
      <c r="P1211" s="1"/>
      <c r="Q1211" s="1">
        <v>39.9</v>
      </c>
    </row>
    <row r="1212" spans="1:17">
      <c r="A1212" s="1" t="s">
        <v>1252</v>
      </c>
      <c r="B1212" s="4">
        <v>45806</v>
      </c>
      <c r="C1212" s="1" t="s">
        <v>2</v>
      </c>
      <c r="D1212" s="1" t="s">
        <v>45</v>
      </c>
      <c r="E1212" s="1" t="s">
        <v>37</v>
      </c>
      <c r="F1212" s="1" t="s">
        <v>38</v>
      </c>
      <c r="G1212" s="1" t="s">
        <v>39</v>
      </c>
      <c r="H1212" s="1">
        <v>1</v>
      </c>
      <c r="I1212" s="1">
        <v>1</v>
      </c>
      <c r="J1212" s="1">
        <v>0</v>
      </c>
      <c r="K1212" s="1">
        <v>0</v>
      </c>
      <c r="L1212" s="1">
        <v>0</v>
      </c>
      <c r="M1212" s="1">
        <v>0</v>
      </c>
      <c r="N1212" s="1">
        <f t="shared" si="18"/>
        <v>0</v>
      </c>
      <c r="O1212" s="1">
        <v>0</v>
      </c>
      <c r="P1212" s="1"/>
      <c r="Q1212" s="1">
        <v>56</v>
      </c>
    </row>
    <row r="1213" spans="1:17">
      <c r="A1213" s="1" t="s">
        <v>1253</v>
      </c>
      <c r="B1213" s="4">
        <v>45807</v>
      </c>
      <c r="C1213" s="1" t="s">
        <v>2</v>
      </c>
      <c r="D1213" s="1" t="s">
        <v>31</v>
      </c>
      <c r="E1213" s="1" t="s">
        <v>37</v>
      </c>
      <c r="F1213" s="1" t="s">
        <v>33</v>
      </c>
      <c r="G1213" s="1" t="s">
        <v>34</v>
      </c>
      <c r="H1213" s="1">
        <v>1</v>
      </c>
      <c r="I1213" s="1">
        <v>0</v>
      </c>
      <c r="J1213" s="1">
        <v>0</v>
      </c>
      <c r="K1213" s="1">
        <v>0</v>
      </c>
      <c r="L1213" s="1">
        <v>0</v>
      </c>
      <c r="M1213" s="1">
        <v>1</v>
      </c>
      <c r="N1213" s="1">
        <f t="shared" si="18"/>
        <v>1</v>
      </c>
      <c r="O1213" s="1">
        <v>0</v>
      </c>
      <c r="P1213" s="1"/>
      <c r="Q1213" s="1">
        <v>65.8</v>
      </c>
    </row>
    <row r="1214" spans="1:17">
      <c r="A1214" s="1" t="s">
        <v>1254</v>
      </c>
      <c r="B1214" s="4">
        <v>45681</v>
      </c>
      <c r="C1214" s="1" t="s">
        <v>2</v>
      </c>
      <c r="D1214" s="1" t="s">
        <v>31</v>
      </c>
      <c r="E1214" s="1" t="s">
        <v>32</v>
      </c>
      <c r="F1214" s="1" t="s">
        <v>38</v>
      </c>
      <c r="G1214" s="1" t="s">
        <v>43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f t="shared" si="18"/>
        <v>0</v>
      </c>
      <c r="O1214" s="1">
        <v>0</v>
      </c>
      <c r="P1214" s="1"/>
      <c r="Q1214" s="1">
        <v>54.7</v>
      </c>
    </row>
    <row r="1215" spans="1:17">
      <c r="A1215" s="1" t="s">
        <v>1255</v>
      </c>
      <c r="B1215" s="4">
        <v>45789</v>
      </c>
      <c r="C1215" s="1" t="s">
        <v>2</v>
      </c>
      <c r="D1215" s="1" t="s">
        <v>45</v>
      </c>
      <c r="E1215" s="1" t="s">
        <v>37</v>
      </c>
      <c r="F1215" s="1" t="s">
        <v>38</v>
      </c>
      <c r="G1215" s="1" t="s">
        <v>34</v>
      </c>
      <c r="H1215" s="1">
        <v>1</v>
      </c>
      <c r="I1215" s="1">
        <v>1</v>
      </c>
      <c r="J1215" s="1">
        <v>0</v>
      </c>
      <c r="K1215" s="1">
        <v>0</v>
      </c>
      <c r="L1215" s="1">
        <v>0</v>
      </c>
      <c r="M1215" s="1">
        <v>0</v>
      </c>
      <c r="N1215" s="1">
        <f t="shared" si="18"/>
        <v>0</v>
      </c>
      <c r="O1215" s="1">
        <v>0</v>
      </c>
      <c r="P1215" s="1"/>
      <c r="Q1215" s="1">
        <v>64.099999999999994</v>
      </c>
    </row>
    <row r="1216" spans="1:17">
      <c r="A1216" s="1" t="s">
        <v>1256</v>
      </c>
      <c r="B1216" s="4">
        <v>45744</v>
      </c>
      <c r="C1216" s="1" t="s">
        <v>2</v>
      </c>
      <c r="D1216" s="1" t="s">
        <v>45</v>
      </c>
      <c r="E1216" s="1" t="s">
        <v>37</v>
      </c>
      <c r="F1216" s="1" t="s">
        <v>38</v>
      </c>
      <c r="G1216" s="1" t="s">
        <v>34</v>
      </c>
      <c r="H1216" s="1">
        <v>1</v>
      </c>
      <c r="I1216" s="1">
        <v>1</v>
      </c>
      <c r="J1216" s="1">
        <v>1</v>
      </c>
      <c r="K1216" s="1">
        <v>0</v>
      </c>
      <c r="L1216" s="1">
        <v>0</v>
      </c>
      <c r="M1216" s="1">
        <v>0</v>
      </c>
      <c r="N1216" s="1">
        <f t="shared" si="18"/>
        <v>0</v>
      </c>
      <c r="O1216" s="1">
        <v>0</v>
      </c>
      <c r="P1216" s="1"/>
      <c r="Q1216" s="1">
        <v>71.599999999999994</v>
      </c>
    </row>
    <row r="1217" spans="1:17">
      <c r="A1217" s="1" t="s">
        <v>1257</v>
      </c>
      <c r="B1217" s="4">
        <v>45761</v>
      </c>
      <c r="C1217" s="1" t="s">
        <v>2</v>
      </c>
      <c r="D1217" s="1" t="s">
        <v>31</v>
      </c>
      <c r="E1217" s="1" t="s">
        <v>37</v>
      </c>
      <c r="F1217" s="1" t="s">
        <v>52</v>
      </c>
      <c r="G1217" s="1" t="s">
        <v>34</v>
      </c>
      <c r="H1217" s="1">
        <v>1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f t="shared" si="18"/>
        <v>0</v>
      </c>
      <c r="O1217" s="1">
        <v>0</v>
      </c>
      <c r="P1217" s="1"/>
      <c r="Q1217" s="1">
        <v>78.400000000000006</v>
      </c>
    </row>
    <row r="1218" spans="1:17">
      <c r="A1218" s="1" t="s">
        <v>1258</v>
      </c>
      <c r="B1218" s="4">
        <v>45685</v>
      </c>
      <c r="C1218" s="1" t="s">
        <v>2</v>
      </c>
      <c r="D1218" s="1" t="s">
        <v>41</v>
      </c>
      <c r="E1218" s="1" t="s">
        <v>47</v>
      </c>
      <c r="F1218" s="1" t="s">
        <v>52</v>
      </c>
      <c r="G1218" s="1" t="s">
        <v>34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f t="shared" si="18"/>
        <v>0</v>
      </c>
      <c r="O1218" s="1">
        <v>0</v>
      </c>
      <c r="P1218" s="1"/>
      <c r="Q1218" s="1">
        <v>49.3</v>
      </c>
    </row>
    <row r="1219" spans="1:17">
      <c r="A1219" s="1" t="s">
        <v>1259</v>
      </c>
      <c r="B1219" s="4">
        <v>45798</v>
      </c>
      <c r="C1219" s="1" t="s">
        <v>2</v>
      </c>
      <c r="D1219" s="1" t="s">
        <v>31</v>
      </c>
      <c r="E1219" s="1" t="s">
        <v>37</v>
      </c>
      <c r="F1219" s="1" t="s">
        <v>38</v>
      </c>
      <c r="G1219" s="1" t="s">
        <v>34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f t="shared" ref="N1219:N1282" si="19">IF(M1219&gt;0,1,0)</f>
        <v>0</v>
      </c>
      <c r="O1219" s="1">
        <v>0</v>
      </c>
      <c r="P1219" s="1"/>
      <c r="Q1219" s="1">
        <v>52.8</v>
      </c>
    </row>
    <row r="1220" spans="1:17">
      <c r="A1220" s="1" t="s">
        <v>1260</v>
      </c>
      <c r="B1220" s="4">
        <v>45788</v>
      </c>
      <c r="C1220" s="1" t="s">
        <v>2</v>
      </c>
      <c r="D1220" s="1" t="s">
        <v>36</v>
      </c>
      <c r="E1220" s="1" t="s">
        <v>32</v>
      </c>
      <c r="F1220" s="1" t="s">
        <v>38</v>
      </c>
      <c r="G1220" s="1" t="s">
        <v>39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f t="shared" si="19"/>
        <v>0</v>
      </c>
      <c r="O1220" s="1">
        <v>0</v>
      </c>
      <c r="P1220" s="1"/>
      <c r="Q1220" s="1">
        <v>58.5</v>
      </c>
    </row>
    <row r="1221" spans="1:17">
      <c r="A1221" s="1" t="s">
        <v>1261</v>
      </c>
      <c r="B1221" s="4">
        <v>45690</v>
      </c>
      <c r="C1221" s="1" t="s">
        <v>2</v>
      </c>
      <c r="D1221" s="1" t="s">
        <v>45</v>
      </c>
      <c r="E1221" s="1" t="s">
        <v>37</v>
      </c>
      <c r="F1221" s="1" t="s">
        <v>42</v>
      </c>
      <c r="G1221" s="1" t="s">
        <v>39</v>
      </c>
      <c r="H1221" s="1">
        <v>1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f t="shared" si="19"/>
        <v>0</v>
      </c>
      <c r="O1221" s="1">
        <v>0</v>
      </c>
      <c r="P1221" s="1"/>
      <c r="Q1221" s="1">
        <v>55.9</v>
      </c>
    </row>
    <row r="1222" spans="1:17">
      <c r="A1222" s="1" t="s">
        <v>1262</v>
      </c>
      <c r="B1222" s="4">
        <v>45714</v>
      </c>
      <c r="C1222" s="1" t="s">
        <v>2</v>
      </c>
      <c r="D1222" s="1" t="s">
        <v>31</v>
      </c>
      <c r="E1222" s="1" t="s">
        <v>37</v>
      </c>
      <c r="F1222" s="1" t="s">
        <v>54</v>
      </c>
      <c r="G1222" s="1" t="s">
        <v>39</v>
      </c>
      <c r="H1222" s="1">
        <v>1</v>
      </c>
      <c r="I1222" s="1">
        <v>1</v>
      </c>
      <c r="J1222" s="1">
        <v>1</v>
      </c>
      <c r="K1222" s="1">
        <v>1</v>
      </c>
      <c r="L1222" s="1">
        <v>351.43</v>
      </c>
      <c r="M1222" s="1">
        <v>1</v>
      </c>
      <c r="N1222" s="1">
        <f t="shared" si="19"/>
        <v>1</v>
      </c>
      <c r="O1222" s="1">
        <v>0</v>
      </c>
      <c r="P1222" s="1">
        <v>6</v>
      </c>
      <c r="Q1222" s="1">
        <v>74.900000000000006</v>
      </c>
    </row>
    <row r="1223" spans="1:17">
      <c r="A1223" s="1" t="s">
        <v>1263</v>
      </c>
      <c r="B1223" s="4">
        <v>45715</v>
      </c>
      <c r="C1223" s="1" t="s">
        <v>2</v>
      </c>
      <c r="D1223" s="1" t="s">
        <v>45</v>
      </c>
      <c r="E1223" s="1" t="s">
        <v>32</v>
      </c>
      <c r="F1223" s="1" t="s">
        <v>52</v>
      </c>
      <c r="G1223" s="1" t="s">
        <v>39</v>
      </c>
      <c r="H1223" s="1">
        <v>1</v>
      </c>
      <c r="I1223" s="1">
        <v>1</v>
      </c>
      <c r="J1223" s="1">
        <v>1</v>
      </c>
      <c r="K1223" s="1">
        <v>1</v>
      </c>
      <c r="L1223" s="1">
        <v>352.42</v>
      </c>
      <c r="M1223" s="1">
        <v>0</v>
      </c>
      <c r="N1223" s="1">
        <f t="shared" si="19"/>
        <v>0</v>
      </c>
      <c r="O1223" s="1">
        <v>0</v>
      </c>
      <c r="P1223" s="1">
        <v>4</v>
      </c>
      <c r="Q1223" s="1">
        <v>58.5</v>
      </c>
    </row>
    <row r="1224" spans="1:17">
      <c r="A1224" s="1" t="s">
        <v>1264</v>
      </c>
      <c r="B1224" s="4">
        <v>45725</v>
      </c>
      <c r="C1224" s="1" t="s">
        <v>2</v>
      </c>
      <c r="D1224" s="1" t="s">
        <v>36</v>
      </c>
      <c r="E1224" s="1" t="s">
        <v>37</v>
      </c>
      <c r="F1224" s="1" t="s">
        <v>38</v>
      </c>
      <c r="G1224" s="1" t="s">
        <v>39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f t="shared" si="19"/>
        <v>0</v>
      </c>
      <c r="O1224" s="1">
        <v>0</v>
      </c>
      <c r="P1224" s="1"/>
      <c r="Q1224" s="1">
        <v>63.5</v>
      </c>
    </row>
    <row r="1225" spans="1:17">
      <c r="A1225" s="1" t="s">
        <v>1265</v>
      </c>
      <c r="B1225" s="4">
        <v>45695</v>
      </c>
      <c r="C1225" s="1" t="s">
        <v>2</v>
      </c>
      <c r="D1225" s="1" t="s">
        <v>31</v>
      </c>
      <c r="E1225" s="1" t="s">
        <v>37</v>
      </c>
      <c r="F1225" s="1" t="s">
        <v>42</v>
      </c>
      <c r="G1225" s="1" t="s">
        <v>34</v>
      </c>
      <c r="H1225" s="1">
        <v>1</v>
      </c>
      <c r="I1225" s="1">
        <v>0</v>
      </c>
      <c r="J1225" s="1">
        <v>0</v>
      </c>
      <c r="K1225" s="1">
        <v>0</v>
      </c>
      <c r="L1225" s="1">
        <v>0</v>
      </c>
      <c r="M1225" s="1">
        <v>1</v>
      </c>
      <c r="N1225" s="1">
        <f t="shared" si="19"/>
        <v>1</v>
      </c>
      <c r="O1225" s="1">
        <v>0</v>
      </c>
      <c r="P1225" s="1"/>
      <c r="Q1225" s="1">
        <v>64.8</v>
      </c>
    </row>
    <row r="1226" spans="1:17">
      <c r="A1226" s="1" t="s">
        <v>1266</v>
      </c>
      <c r="B1226" s="4">
        <v>45688</v>
      </c>
      <c r="C1226" s="1" t="s">
        <v>2</v>
      </c>
      <c r="D1226" s="1" t="s">
        <v>36</v>
      </c>
      <c r="E1226" s="1" t="s">
        <v>37</v>
      </c>
      <c r="F1226" s="1" t="s">
        <v>54</v>
      </c>
      <c r="G1226" s="1" t="s">
        <v>39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f t="shared" si="19"/>
        <v>0</v>
      </c>
      <c r="O1226" s="1">
        <v>0</v>
      </c>
      <c r="P1226" s="1"/>
      <c r="Q1226" s="1">
        <v>63.3</v>
      </c>
    </row>
    <row r="1227" spans="1:17">
      <c r="A1227" s="1" t="s">
        <v>1267</v>
      </c>
      <c r="B1227" s="4">
        <v>45702</v>
      </c>
      <c r="C1227" s="1" t="s">
        <v>2</v>
      </c>
      <c r="D1227" s="1" t="s">
        <v>31</v>
      </c>
      <c r="E1227" s="1" t="s">
        <v>47</v>
      </c>
      <c r="F1227" s="1" t="s">
        <v>42</v>
      </c>
      <c r="G1227" s="1" t="s">
        <v>34</v>
      </c>
      <c r="H1227" s="1">
        <v>1</v>
      </c>
      <c r="I1227" s="1">
        <v>1</v>
      </c>
      <c r="J1227" s="1">
        <v>1</v>
      </c>
      <c r="K1227" s="1">
        <v>1</v>
      </c>
      <c r="L1227" s="1">
        <v>1074.1600000000001</v>
      </c>
      <c r="M1227" s="1">
        <v>0</v>
      </c>
      <c r="N1227" s="1">
        <f t="shared" si="19"/>
        <v>0</v>
      </c>
      <c r="O1227" s="1">
        <v>0</v>
      </c>
      <c r="P1227" s="1">
        <v>8</v>
      </c>
      <c r="Q1227" s="1">
        <v>83.7</v>
      </c>
    </row>
    <row r="1228" spans="1:17">
      <c r="A1228" s="1" t="s">
        <v>1268</v>
      </c>
      <c r="B1228" s="4">
        <v>45700</v>
      </c>
      <c r="C1228" s="1" t="s">
        <v>2</v>
      </c>
      <c r="D1228" s="1" t="s">
        <v>45</v>
      </c>
      <c r="E1228" s="1" t="s">
        <v>32</v>
      </c>
      <c r="F1228" s="1" t="s">
        <v>54</v>
      </c>
      <c r="G1228" s="1" t="s">
        <v>34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f t="shared" si="19"/>
        <v>0</v>
      </c>
      <c r="O1228" s="1">
        <v>0</v>
      </c>
      <c r="P1228" s="1"/>
      <c r="Q1228" s="1">
        <v>88.7</v>
      </c>
    </row>
    <row r="1229" spans="1:17">
      <c r="A1229" s="1" t="s">
        <v>1269</v>
      </c>
      <c r="B1229" s="4">
        <v>45739</v>
      </c>
      <c r="C1229" s="1" t="s">
        <v>2</v>
      </c>
      <c r="D1229" s="1" t="s">
        <v>41</v>
      </c>
      <c r="E1229" s="1"/>
      <c r="F1229" s="1" t="s">
        <v>42</v>
      </c>
      <c r="G1229" s="1" t="s">
        <v>39</v>
      </c>
      <c r="H1229" s="1">
        <v>1</v>
      </c>
      <c r="I1229" s="1">
        <v>0</v>
      </c>
      <c r="J1229" s="1">
        <v>0</v>
      </c>
      <c r="K1229" s="1">
        <v>0</v>
      </c>
      <c r="L1229" s="1">
        <v>0</v>
      </c>
      <c r="M1229" s="1">
        <v>1</v>
      </c>
      <c r="N1229" s="1">
        <f t="shared" si="19"/>
        <v>1</v>
      </c>
      <c r="O1229" s="1">
        <v>0</v>
      </c>
      <c r="P1229" s="1"/>
      <c r="Q1229" s="1">
        <v>61.5</v>
      </c>
    </row>
    <row r="1230" spans="1:17">
      <c r="A1230" s="1" t="s">
        <v>1270</v>
      </c>
      <c r="B1230" s="4">
        <v>45734</v>
      </c>
      <c r="C1230" s="1" t="s">
        <v>2</v>
      </c>
      <c r="D1230" s="1" t="s">
        <v>36</v>
      </c>
      <c r="E1230" s="1" t="s">
        <v>37</v>
      </c>
      <c r="F1230" s="1" t="s">
        <v>42</v>
      </c>
      <c r="G1230" s="1" t="s">
        <v>39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f t="shared" si="19"/>
        <v>0</v>
      </c>
      <c r="O1230" s="1">
        <v>0</v>
      </c>
      <c r="P1230" s="1"/>
      <c r="Q1230" s="1">
        <v>45.3</v>
      </c>
    </row>
    <row r="1231" spans="1:17">
      <c r="A1231" s="1" t="s">
        <v>1271</v>
      </c>
      <c r="B1231" s="4">
        <v>45794</v>
      </c>
      <c r="C1231" s="1" t="s">
        <v>2</v>
      </c>
      <c r="D1231" s="1" t="s">
        <v>31</v>
      </c>
      <c r="E1231" s="1" t="s">
        <v>37</v>
      </c>
      <c r="F1231" s="1" t="s">
        <v>54</v>
      </c>
      <c r="G1231" s="1" t="s">
        <v>39</v>
      </c>
      <c r="H1231" s="1">
        <v>1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f t="shared" si="19"/>
        <v>0</v>
      </c>
      <c r="O1231" s="1">
        <v>0</v>
      </c>
      <c r="P1231" s="1"/>
      <c r="Q1231" s="1">
        <v>37.299999999999997</v>
      </c>
    </row>
    <row r="1232" spans="1:17">
      <c r="A1232" s="1" t="s">
        <v>1272</v>
      </c>
      <c r="B1232" s="4">
        <v>45742</v>
      </c>
      <c r="C1232" s="1" t="s">
        <v>2</v>
      </c>
      <c r="D1232" s="1" t="s">
        <v>36</v>
      </c>
      <c r="E1232" s="1" t="s">
        <v>32</v>
      </c>
      <c r="F1232" s="1" t="s">
        <v>54</v>
      </c>
      <c r="G1232" s="1" t="s">
        <v>43</v>
      </c>
      <c r="H1232" s="1">
        <v>1</v>
      </c>
      <c r="I1232" s="1">
        <v>0</v>
      </c>
      <c r="J1232" s="1">
        <v>0</v>
      </c>
      <c r="K1232" s="1">
        <v>0</v>
      </c>
      <c r="L1232" s="1">
        <v>0</v>
      </c>
      <c r="M1232" s="1">
        <v>1</v>
      </c>
      <c r="N1232" s="1">
        <f t="shared" si="19"/>
        <v>1</v>
      </c>
      <c r="O1232" s="1">
        <v>0</v>
      </c>
      <c r="P1232" s="1"/>
      <c r="Q1232" s="1">
        <v>76.099999999999994</v>
      </c>
    </row>
    <row r="1233" spans="1:17">
      <c r="A1233" s="1" t="s">
        <v>1273</v>
      </c>
      <c r="B1233" s="4">
        <v>45711</v>
      </c>
      <c r="C1233" s="1" t="s">
        <v>2</v>
      </c>
      <c r="D1233" s="1" t="s">
        <v>36</v>
      </c>
      <c r="E1233" s="1" t="s">
        <v>32</v>
      </c>
      <c r="F1233" s="1" t="s">
        <v>54</v>
      </c>
      <c r="G1233" s="1" t="s">
        <v>34</v>
      </c>
      <c r="H1233" s="1">
        <v>1</v>
      </c>
      <c r="I1233" s="1">
        <v>1</v>
      </c>
      <c r="J1233" s="1">
        <v>1</v>
      </c>
      <c r="K1233" s="1">
        <v>0</v>
      </c>
      <c r="L1233" s="1">
        <v>0</v>
      </c>
      <c r="M1233" s="1">
        <v>0</v>
      </c>
      <c r="N1233" s="1">
        <f t="shared" si="19"/>
        <v>0</v>
      </c>
      <c r="O1233" s="1">
        <v>0</v>
      </c>
      <c r="P1233" s="1"/>
      <c r="Q1233" s="1">
        <v>70.599999999999994</v>
      </c>
    </row>
    <row r="1234" spans="1:17">
      <c r="A1234" s="1" t="s">
        <v>1274</v>
      </c>
      <c r="B1234" s="4">
        <v>45713</v>
      </c>
      <c r="C1234" s="1" t="s">
        <v>2</v>
      </c>
      <c r="D1234" s="1" t="s">
        <v>41</v>
      </c>
      <c r="E1234" s="1" t="s">
        <v>32</v>
      </c>
      <c r="F1234" s="1" t="s">
        <v>38</v>
      </c>
      <c r="G1234" s="1" t="s">
        <v>39</v>
      </c>
      <c r="H1234" s="1">
        <v>1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f t="shared" si="19"/>
        <v>0</v>
      </c>
      <c r="O1234" s="1">
        <v>0</v>
      </c>
      <c r="P1234" s="1"/>
      <c r="Q1234" s="1">
        <v>62.3</v>
      </c>
    </row>
    <row r="1235" spans="1:17">
      <c r="A1235" s="1" t="s">
        <v>1275</v>
      </c>
      <c r="B1235" s="4">
        <v>45717</v>
      </c>
      <c r="C1235" s="1" t="s">
        <v>2</v>
      </c>
      <c r="D1235" s="1" t="s">
        <v>41</v>
      </c>
      <c r="E1235" s="1" t="s">
        <v>32</v>
      </c>
      <c r="F1235" s="1" t="s">
        <v>54</v>
      </c>
      <c r="G1235" s="1" t="s">
        <v>39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f t="shared" si="19"/>
        <v>0</v>
      </c>
      <c r="O1235" s="1">
        <v>0</v>
      </c>
      <c r="P1235" s="1"/>
      <c r="Q1235" s="1">
        <v>62.7</v>
      </c>
    </row>
    <row r="1236" spans="1:17">
      <c r="A1236" s="1" t="s">
        <v>1276</v>
      </c>
      <c r="B1236" s="4">
        <v>45804</v>
      </c>
      <c r="C1236" s="1" t="s">
        <v>2</v>
      </c>
      <c r="D1236" s="1" t="s">
        <v>31</v>
      </c>
      <c r="E1236" s="1" t="s">
        <v>37</v>
      </c>
      <c r="F1236" s="1" t="s">
        <v>42</v>
      </c>
      <c r="G1236" s="1" t="s">
        <v>34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f t="shared" si="19"/>
        <v>0</v>
      </c>
      <c r="O1236" s="1">
        <v>0</v>
      </c>
      <c r="P1236" s="1"/>
      <c r="Q1236" s="1">
        <v>82.4</v>
      </c>
    </row>
    <row r="1237" spans="1:17">
      <c r="A1237" s="1" t="s">
        <v>1277</v>
      </c>
      <c r="B1237" s="4">
        <v>45693</v>
      </c>
      <c r="C1237" s="1" t="s">
        <v>2</v>
      </c>
      <c r="D1237" s="1" t="s">
        <v>36</v>
      </c>
      <c r="E1237" s="1" t="s">
        <v>37</v>
      </c>
      <c r="F1237" s="1"/>
      <c r="G1237" s="1" t="s">
        <v>43</v>
      </c>
      <c r="H1237" s="1">
        <v>1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f t="shared" si="19"/>
        <v>0</v>
      </c>
      <c r="O1237" s="1">
        <v>0</v>
      </c>
      <c r="P1237" s="1"/>
      <c r="Q1237" s="1">
        <v>78.900000000000006</v>
      </c>
    </row>
    <row r="1238" spans="1:17">
      <c r="A1238" s="1" t="s">
        <v>1278</v>
      </c>
      <c r="B1238" s="4">
        <v>45682</v>
      </c>
      <c r="C1238" s="1" t="s">
        <v>2</v>
      </c>
      <c r="D1238" s="1" t="s">
        <v>36</v>
      </c>
      <c r="E1238" s="1" t="s">
        <v>32</v>
      </c>
      <c r="F1238" s="1" t="s">
        <v>33</v>
      </c>
      <c r="G1238" s="1" t="s">
        <v>39</v>
      </c>
      <c r="H1238" s="1">
        <v>1</v>
      </c>
      <c r="I1238" s="1">
        <v>1</v>
      </c>
      <c r="J1238" s="1">
        <v>1</v>
      </c>
      <c r="K1238" s="1">
        <v>1</v>
      </c>
      <c r="L1238" s="1">
        <v>618.91</v>
      </c>
      <c r="M1238" s="1">
        <v>0</v>
      </c>
      <c r="N1238" s="1">
        <f t="shared" si="19"/>
        <v>0</v>
      </c>
      <c r="O1238" s="1">
        <v>0</v>
      </c>
      <c r="P1238" s="1">
        <v>4</v>
      </c>
      <c r="Q1238" s="1">
        <v>67.8</v>
      </c>
    </row>
    <row r="1239" spans="1:17">
      <c r="A1239" s="1" t="s">
        <v>1279</v>
      </c>
      <c r="B1239" s="4">
        <v>45757</v>
      </c>
      <c r="C1239" s="1" t="s">
        <v>2</v>
      </c>
      <c r="D1239" s="1" t="s">
        <v>41</v>
      </c>
      <c r="E1239" s="1" t="s">
        <v>37</v>
      </c>
      <c r="F1239" s="1" t="s">
        <v>38</v>
      </c>
      <c r="G1239" s="1" t="s">
        <v>43</v>
      </c>
      <c r="H1239" s="1">
        <v>1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f t="shared" si="19"/>
        <v>0</v>
      </c>
      <c r="O1239" s="1">
        <v>0</v>
      </c>
      <c r="P1239" s="1"/>
      <c r="Q1239" s="1">
        <v>68.8</v>
      </c>
    </row>
    <row r="1240" spans="1:17">
      <c r="A1240" s="1" t="s">
        <v>1280</v>
      </c>
      <c r="B1240" s="4">
        <v>45667</v>
      </c>
      <c r="C1240" s="1" t="s">
        <v>2</v>
      </c>
      <c r="D1240" s="1" t="s">
        <v>41</v>
      </c>
      <c r="E1240" s="1" t="s">
        <v>37</v>
      </c>
      <c r="F1240" s="1" t="s">
        <v>38</v>
      </c>
      <c r="G1240" s="1" t="s">
        <v>43</v>
      </c>
      <c r="H1240" s="1">
        <v>1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f t="shared" si="19"/>
        <v>0</v>
      </c>
      <c r="O1240" s="1">
        <v>0</v>
      </c>
      <c r="P1240" s="1"/>
      <c r="Q1240" s="1">
        <v>67.7</v>
      </c>
    </row>
    <row r="1241" spans="1:17">
      <c r="A1241" s="1" t="s">
        <v>1281</v>
      </c>
      <c r="B1241" s="4">
        <v>45711</v>
      </c>
      <c r="C1241" s="1" t="s">
        <v>2</v>
      </c>
      <c r="D1241" s="1" t="s">
        <v>41</v>
      </c>
      <c r="E1241" s="1" t="s">
        <v>37</v>
      </c>
      <c r="F1241" s="1"/>
      <c r="G1241" s="1" t="s">
        <v>39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f t="shared" si="19"/>
        <v>0</v>
      </c>
      <c r="O1241" s="1">
        <v>0</v>
      </c>
      <c r="P1241" s="1"/>
      <c r="Q1241" s="1">
        <v>88</v>
      </c>
    </row>
    <row r="1242" spans="1:17">
      <c r="A1242" s="1" t="s">
        <v>1282</v>
      </c>
      <c r="B1242" s="4">
        <v>45800</v>
      </c>
      <c r="C1242" s="1" t="s">
        <v>2</v>
      </c>
      <c r="D1242" s="1" t="s">
        <v>36</v>
      </c>
      <c r="E1242" s="1" t="s">
        <v>32</v>
      </c>
      <c r="F1242" s="1" t="s">
        <v>38</v>
      </c>
      <c r="G1242" s="1" t="s">
        <v>34</v>
      </c>
      <c r="H1242" s="1">
        <v>1</v>
      </c>
      <c r="I1242" s="1">
        <v>1</v>
      </c>
      <c r="J1242" s="1">
        <v>0</v>
      </c>
      <c r="K1242" s="1">
        <v>0</v>
      </c>
      <c r="L1242" s="1">
        <v>0</v>
      </c>
      <c r="M1242" s="1">
        <v>0</v>
      </c>
      <c r="N1242" s="1">
        <f t="shared" si="19"/>
        <v>0</v>
      </c>
      <c r="O1242" s="1">
        <v>0</v>
      </c>
      <c r="P1242" s="1"/>
      <c r="Q1242" s="1">
        <v>80.099999999999994</v>
      </c>
    </row>
    <row r="1243" spans="1:17">
      <c r="A1243" s="1" t="s">
        <v>1283</v>
      </c>
      <c r="B1243" s="4">
        <v>45724</v>
      </c>
      <c r="C1243" s="1" t="s">
        <v>2</v>
      </c>
      <c r="D1243" s="1" t="s">
        <v>31</v>
      </c>
      <c r="E1243" s="1" t="s">
        <v>47</v>
      </c>
      <c r="F1243" s="1" t="s">
        <v>33</v>
      </c>
      <c r="G1243" s="1" t="s">
        <v>34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1</v>
      </c>
      <c r="N1243" s="1">
        <f t="shared" si="19"/>
        <v>1</v>
      </c>
      <c r="O1243" s="1">
        <v>0</v>
      </c>
      <c r="P1243" s="1"/>
      <c r="Q1243" s="1">
        <v>48.2</v>
      </c>
    </row>
    <row r="1244" spans="1:17">
      <c r="A1244" s="1" t="s">
        <v>1284</v>
      </c>
      <c r="B1244" s="4">
        <v>45798</v>
      </c>
      <c r="C1244" s="1" t="s">
        <v>2</v>
      </c>
      <c r="D1244" s="1" t="s">
        <v>41</v>
      </c>
      <c r="E1244" s="1" t="s">
        <v>37</v>
      </c>
      <c r="F1244" s="1" t="s">
        <v>38</v>
      </c>
      <c r="G1244" s="1" t="s">
        <v>34</v>
      </c>
      <c r="H1244" s="1">
        <v>1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f t="shared" si="19"/>
        <v>0</v>
      </c>
      <c r="O1244" s="1">
        <v>0</v>
      </c>
      <c r="P1244" s="1"/>
      <c r="Q1244" s="1">
        <v>52.7</v>
      </c>
    </row>
    <row r="1245" spans="1:17">
      <c r="A1245" s="1" t="s">
        <v>1285</v>
      </c>
      <c r="B1245" s="4">
        <v>45769</v>
      </c>
      <c r="C1245" s="1" t="s">
        <v>2</v>
      </c>
      <c r="D1245" s="1" t="s">
        <v>31</v>
      </c>
      <c r="E1245" s="1" t="s">
        <v>37</v>
      </c>
      <c r="F1245" s="1" t="s">
        <v>33</v>
      </c>
      <c r="G1245" s="1" t="s">
        <v>34</v>
      </c>
      <c r="H1245" s="1">
        <v>1</v>
      </c>
      <c r="I1245" s="1">
        <v>1</v>
      </c>
      <c r="J1245" s="1">
        <v>0</v>
      </c>
      <c r="K1245" s="1">
        <v>0</v>
      </c>
      <c r="L1245" s="1">
        <v>0</v>
      </c>
      <c r="M1245" s="1">
        <v>0</v>
      </c>
      <c r="N1245" s="1">
        <f t="shared" si="19"/>
        <v>0</v>
      </c>
      <c r="O1245" s="1">
        <v>0</v>
      </c>
      <c r="P1245" s="1"/>
      <c r="Q1245" s="1">
        <v>59.9</v>
      </c>
    </row>
    <row r="1246" spans="1:17">
      <c r="A1246" s="1" t="s">
        <v>1286</v>
      </c>
      <c r="B1246" s="4">
        <v>45763</v>
      </c>
      <c r="C1246" s="1" t="s">
        <v>2</v>
      </c>
      <c r="D1246" s="1" t="s">
        <v>31</v>
      </c>
      <c r="E1246" s="1" t="s">
        <v>37</v>
      </c>
      <c r="F1246" s="1" t="s">
        <v>33</v>
      </c>
      <c r="G1246" s="1" t="s">
        <v>43</v>
      </c>
      <c r="H1246" s="1">
        <v>1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f t="shared" si="19"/>
        <v>0</v>
      </c>
      <c r="O1246" s="1">
        <v>0</v>
      </c>
      <c r="P1246" s="1"/>
      <c r="Q1246" s="1">
        <v>49.5</v>
      </c>
    </row>
    <row r="1247" spans="1:17">
      <c r="A1247" s="1" t="s">
        <v>1287</v>
      </c>
      <c r="B1247" s="4">
        <v>45785</v>
      </c>
      <c r="C1247" s="1" t="s">
        <v>2</v>
      </c>
      <c r="D1247" s="1" t="s">
        <v>31</v>
      </c>
      <c r="E1247" s="1" t="s">
        <v>47</v>
      </c>
      <c r="F1247" s="1" t="s">
        <v>38</v>
      </c>
      <c r="G1247" s="1" t="s">
        <v>39</v>
      </c>
      <c r="H1247" s="1">
        <v>1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f t="shared" si="19"/>
        <v>0</v>
      </c>
      <c r="O1247" s="1">
        <v>0</v>
      </c>
      <c r="P1247" s="1"/>
      <c r="Q1247" s="1">
        <v>41.5</v>
      </c>
    </row>
    <row r="1248" spans="1:17">
      <c r="A1248" s="1" t="s">
        <v>1288</v>
      </c>
      <c r="B1248" s="4">
        <v>45799</v>
      </c>
      <c r="C1248" s="1" t="s">
        <v>2</v>
      </c>
      <c r="D1248" s="1" t="s">
        <v>31</v>
      </c>
      <c r="E1248" s="1" t="s">
        <v>37</v>
      </c>
      <c r="F1248" s="1" t="s">
        <v>42</v>
      </c>
      <c r="G1248" s="1" t="s">
        <v>34</v>
      </c>
      <c r="H1248" s="1">
        <v>1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f t="shared" si="19"/>
        <v>0</v>
      </c>
      <c r="O1248" s="1">
        <v>0</v>
      </c>
      <c r="P1248" s="1"/>
      <c r="Q1248" s="1">
        <v>71.2</v>
      </c>
    </row>
    <row r="1249" spans="1:17">
      <c r="A1249" s="1" t="s">
        <v>1289</v>
      </c>
      <c r="B1249" s="4">
        <v>45737</v>
      </c>
      <c r="C1249" s="1" t="s">
        <v>2</v>
      </c>
      <c r="D1249" s="1" t="s">
        <v>31</v>
      </c>
      <c r="E1249" s="1" t="s">
        <v>37</v>
      </c>
      <c r="F1249" s="1" t="s">
        <v>52</v>
      </c>
      <c r="G1249" s="1" t="s">
        <v>34</v>
      </c>
      <c r="H1249" s="1">
        <v>1</v>
      </c>
      <c r="I1249" s="1">
        <v>1</v>
      </c>
      <c r="J1249" s="1">
        <v>1</v>
      </c>
      <c r="K1249" s="1">
        <v>0</v>
      </c>
      <c r="L1249" s="1">
        <v>0</v>
      </c>
      <c r="M1249" s="1">
        <v>0</v>
      </c>
      <c r="N1249" s="1">
        <f t="shared" si="19"/>
        <v>0</v>
      </c>
      <c r="O1249" s="1">
        <v>0</v>
      </c>
      <c r="P1249" s="1"/>
      <c r="Q1249" s="1">
        <v>65.8</v>
      </c>
    </row>
    <row r="1250" spans="1:17">
      <c r="A1250" s="1" t="s">
        <v>1290</v>
      </c>
      <c r="B1250" s="4">
        <v>45738</v>
      </c>
      <c r="C1250" s="1" t="s">
        <v>2</v>
      </c>
      <c r="D1250" s="1" t="s">
        <v>41</v>
      </c>
      <c r="E1250" s="1" t="s">
        <v>37</v>
      </c>
      <c r="F1250" s="1" t="s">
        <v>38</v>
      </c>
      <c r="G1250" s="1" t="s">
        <v>34</v>
      </c>
      <c r="H1250" s="1">
        <v>1</v>
      </c>
      <c r="I1250" s="1">
        <v>0</v>
      </c>
      <c r="J1250" s="1">
        <v>0</v>
      </c>
      <c r="K1250" s="1">
        <v>0</v>
      </c>
      <c r="L1250" s="1">
        <v>0</v>
      </c>
      <c r="M1250" s="1">
        <v>1</v>
      </c>
      <c r="N1250" s="1">
        <f t="shared" si="19"/>
        <v>1</v>
      </c>
      <c r="O1250" s="1">
        <v>0</v>
      </c>
      <c r="P1250" s="1"/>
      <c r="Q1250" s="1">
        <v>55.1</v>
      </c>
    </row>
    <row r="1251" spans="1:17">
      <c r="A1251" s="1" t="s">
        <v>1291</v>
      </c>
      <c r="B1251" s="4">
        <v>45667</v>
      </c>
      <c r="C1251" s="1" t="s">
        <v>2</v>
      </c>
      <c r="D1251" s="1" t="s">
        <v>36</v>
      </c>
      <c r="E1251" s="1" t="s">
        <v>32</v>
      </c>
      <c r="F1251" s="1" t="s">
        <v>54</v>
      </c>
      <c r="G1251" s="1" t="s">
        <v>39</v>
      </c>
      <c r="H1251" s="1">
        <v>1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f t="shared" si="19"/>
        <v>0</v>
      </c>
      <c r="O1251" s="1">
        <v>0</v>
      </c>
      <c r="P1251" s="1"/>
      <c r="Q1251" s="1">
        <v>54.6</v>
      </c>
    </row>
    <row r="1252" spans="1:17">
      <c r="A1252" s="1" t="s">
        <v>1292</v>
      </c>
      <c r="B1252" s="4">
        <v>45689</v>
      </c>
      <c r="C1252" s="1" t="s">
        <v>2</v>
      </c>
      <c r="D1252" s="1" t="s">
        <v>41</v>
      </c>
      <c r="E1252" s="1" t="s">
        <v>37</v>
      </c>
      <c r="F1252" s="1" t="s">
        <v>38</v>
      </c>
      <c r="G1252" s="1" t="s">
        <v>34</v>
      </c>
      <c r="H1252" s="1">
        <v>1</v>
      </c>
      <c r="I1252" s="1">
        <v>1</v>
      </c>
      <c r="J1252" s="1">
        <v>1</v>
      </c>
      <c r="K1252" s="1">
        <v>1</v>
      </c>
      <c r="L1252" s="1">
        <v>923.67</v>
      </c>
      <c r="M1252" s="1">
        <v>0</v>
      </c>
      <c r="N1252" s="1">
        <f t="shared" si="19"/>
        <v>0</v>
      </c>
      <c r="O1252" s="1">
        <v>0</v>
      </c>
      <c r="P1252" s="1">
        <v>4</v>
      </c>
      <c r="Q1252" s="1">
        <v>81.900000000000006</v>
      </c>
    </row>
    <row r="1253" spans="1:17">
      <c r="A1253" s="1" t="s">
        <v>1293</v>
      </c>
      <c r="B1253" s="4">
        <v>45747</v>
      </c>
      <c r="C1253" s="1" t="s">
        <v>2</v>
      </c>
      <c r="D1253" s="1" t="s">
        <v>45</v>
      </c>
      <c r="E1253" s="1" t="s">
        <v>37</v>
      </c>
      <c r="F1253" s="1" t="s">
        <v>42</v>
      </c>
      <c r="G1253" s="1" t="s">
        <v>34</v>
      </c>
      <c r="H1253" s="1">
        <v>1</v>
      </c>
      <c r="I1253" s="1">
        <v>1</v>
      </c>
      <c r="J1253" s="1">
        <v>0</v>
      </c>
      <c r="K1253" s="1">
        <v>0</v>
      </c>
      <c r="L1253" s="1">
        <v>0</v>
      </c>
      <c r="M1253" s="1">
        <v>3</v>
      </c>
      <c r="N1253" s="1">
        <f t="shared" si="19"/>
        <v>1</v>
      </c>
      <c r="O1253" s="1">
        <v>0</v>
      </c>
      <c r="P1253" s="1"/>
      <c r="Q1253" s="1">
        <v>63.2</v>
      </c>
    </row>
    <row r="1254" spans="1:17">
      <c r="A1254" s="1" t="s">
        <v>1294</v>
      </c>
      <c r="B1254" s="4">
        <v>45772</v>
      </c>
      <c r="C1254" s="1" t="s">
        <v>2</v>
      </c>
      <c r="D1254" s="1" t="s">
        <v>31</v>
      </c>
      <c r="E1254" s="1" t="s">
        <v>37</v>
      </c>
      <c r="F1254" s="1" t="s">
        <v>42</v>
      </c>
      <c r="G1254" s="1" t="s">
        <v>39</v>
      </c>
      <c r="H1254" s="1">
        <v>1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f t="shared" si="19"/>
        <v>0</v>
      </c>
      <c r="O1254" s="1">
        <v>0</v>
      </c>
      <c r="P1254" s="1"/>
      <c r="Q1254" s="1">
        <v>55.4</v>
      </c>
    </row>
    <row r="1255" spans="1:17">
      <c r="A1255" s="1" t="s">
        <v>1295</v>
      </c>
      <c r="B1255" s="4">
        <v>45779</v>
      </c>
      <c r="C1255" s="1" t="s">
        <v>2</v>
      </c>
      <c r="D1255" s="1" t="s">
        <v>36</v>
      </c>
      <c r="E1255" s="1" t="s">
        <v>37</v>
      </c>
      <c r="F1255" s="1" t="s">
        <v>54</v>
      </c>
      <c r="G1255" s="1" t="s">
        <v>34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f t="shared" si="19"/>
        <v>0</v>
      </c>
      <c r="O1255" s="1">
        <v>0</v>
      </c>
      <c r="P1255" s="1"/>
      <c r="Q1255" s="1">
        <v>87.5</v>
      </c>
    </row>
    <row r="1256" spans="1:17">
      <c r="A1256" s="1" t="s">
        <v>1296</v>
      </c>
      <c r="B1256" s="4">
        <v>45724</v>
      </c>
      <c r="C1256" s="1" t="s">
        <v>2</v>
      </c>
      <c r="D1256" s="1" t="s">
        <v>45</v>
      </c>
      <c r="E1256" s="1" t="s">
        <v>32</v>
      </c>
      <c r="F1256" s="1" t="s">
        <v>54</v>
      </c>
      <c r="G1256" s="1" t="s">
        <v>34</v>
      </c>
      <c r="H1256" s="1">
        <v>1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f t="shared" si="19"/>
        <v>0</v>
      </c>
      <c r="O1256" s="1">
        <v>0</v>
      </c>
      <c r="P1256" s="1"/>
      <c r="Q1256" s="1">
        <v>48.5</v>
      </c>
    </row>
    <row r="1257" spans="1:17">
      <c r="A1257" s="1" t="s">
        <v>1297</v>
      </c>
      <c r="B1257" s="4">
        <v>45684</v>
      </c>
      <c r="C1257" s="1" t="s">
        <v>2</v>
      </c>
      <c r="D1257" s="1" t="s">
        <v>41</v>
      </c>
      <c r="E1257" s="1" t="s">
        <v>32</v>
      </c>
      <c r="F1257" s="1"/>
      <c r="G1257" s="1" t="s">
        <v>39</v>
      </c>
      <c r="H1257" s="1">
        <v>1</v>
      </c>
      <c r="I1257" s="1">
        <v>1</v>
      </c>
      <c r="J1257" s="1">
        <v>1</v>
      </c>
      <c r="K1257" s="1">
        <v>1</v>
      </c>
      <c r="L1257" s="1">
        <v>420.27</v>
      </c>
      <c r="M1257" s="1">
        <v>0</v>
      </c>
      <c r="N1257" s="1">
        <f t="shared" si="19"/>
        <v>0</v>
      </c>
      <c r="O1257" s="1">
        <v>0</v>
      </c>
      <c r="P1257" s="1">
        <v>6</v>
      </c>
      <c r="Q1257" s="1">
        <v>58.4</v>
      </c>
    </row>
    <row r="1258" spans="1:17">
      <c r="A1258" s="1" t="s">
        <v>1298</v>
      </c>
      <c r="B1258" s="4">
        <v>45774</v>
      </c>
      <c r="C1258" s="1" t="s">
        <v>2</v>
      </c>
      <c r="D1258" s="1" t="s">
        <v>36</v>
      </c>
      <c r="E1258" s="1" t="s">
        <v>37</v>
      </c>
      <c r="F1258" s="1" t="s">
        <v>42</v>
      </c>
      <c r="G1258" s="1" t="s">
        <v>39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f t="shared" si="19"/>
        <v>0</v>
      </c>
      <c r="O1258" s="1">
        <v>0</v>
      </c>
      <c r="P1258" s="1"/>
      <c r="Q1258" s="1">
        <v>59.5</v>
      </c>
    </row>
    <row r="1259" spans="1:17">
      <c r="A1259" s="1" t="s">
        <v>1299</v>
      </c>
      <c r="B1259" s="4">
        <v>45673</v>
      </c>
      <c r="C1259" s="1" t="s">
        <v>2</v>
      </c>
      <c r="D1259" s="1" t="s">
        <v>36</v>
      </c>
      <c r="E1259" s="1" t="s">
        <v>32</v>
      </c>
      <c r="F1259" s="1" t="s">
        <v>42</v>
      </c>
      <c r="G1259" s="1" t="s">
        <v>34</v>
      </c>
      <c r="H1259" s="1">
        <v>1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f t="shared" si="19"/>
        <v>0</v>
      </c>
      <c r="O1259" s="1">
        <v>0</v>
      </c>
      <c r="P1259" s="1"/>
      <c r="Q1259" s="1">
        <v>93.2</v>
      </c>
    </row>
    <row r="1260" spans="1:17">
      <c r="A1260" s="1" t="s">
        <v>1300</v>
      </c>
      <c r="B1260" s="4">
        <v>45675</v>
      </c>
      <c r="C1260" s="1" t="s">
        <v>2</v>
      </c>
      <c r="D1260" s="1" t="s">
        <v>36</v>
      </c>
      <c r="E1260" s="1" t="s">
        <v>32</v>
      </c>
      <c r="F1260" s="1" t="s">
        <v>42</v>
      </c>
      <c r="G1260" s="1" t="s">
        <v>34</v>
      </c>
      <c r="H1260" s="1">
        <v>1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f t="shared" si="19"/>
        <v>0</v>
      </c>
      <c r="O1260" s="1">
        <v>0</v>
      </c>
      <c r="P1260" s="1"/>
      <c r="Q1260" s="1">
        <v>59</v>
      </c>
    </row>
    <row r="1261" spans="1:17">
      <c r="A1261" s="1" t="s">
        <v>1301</v>
      </c>
      <c r="B1261" s="4">
        <v>45737</v>
      </c>
      <c r="C1261" s="1" t="s">
        <v>2</v>
      </c>
      <c r="D1261" s="1" t="s">
        <v>31</v>
      </c>
      <c r="E1261" s="1" t="s">
        <v>37</v>
      </c>
      <c r="F1261" s="1" t="s">
        <v>38</v>
      </c>
      <c r="G1261" s="1" t="s">
        <v>39</v>
      </c>
      <c r="H1261" s="1">
        <v>1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f t="shared" si="19"/>
        <v>0</v>
      </c>
      <c r="O1261" s="1">
        <v>0</v>
      </c>
      <c r="P1261" s="1"/>
      <c r="Q1261" s="1">
        <v>37</v>
      </c>
    </row>
    <row r="1262" spans="1:17">
      <c r="A1262" s="1" t="s">
        <v>1302</v>
      </c>
      <c r="B1262" s="4">
        <v>45749</v>
      </c>
      <c r="C1262" s="1" t="s">
        <v>2</v>
      </c>
      <c r="D1262" s="1" t="s">
        <v>31</v>
      </c>
      <c r="E1262" s="1" t="s">
        <v>32</v>
      </c>
      <c r="F1262" s="1" t="s">
        <v>42</v>
      </c>
      <c r="G1262" s="1" t="s">
        <v>39</v>
      </c>
      <c r="H1262" s="1">
        <v>1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f t="shared" si="19"/>
        <v>0</v>
      </c>
      <c r="O1262" s="1">
        <v>0</v>
      </c>
      <c r="P1262" s="1"/>
      <c r="Q1262" s="1">
        <v>47.5</v>
      </c>
    </row>
    <row r="1263" spans="1:17">
      <c r="A1263" s="1" t="s">
        <v>1303</v>
      </c>
      <c r="B1263" s="4">
        <v>45704</v>
      </c>
      <c r="C1263" s="1" t="s">
        <v>2</v>
      </c>
      <c r="D1263" s="1" t="s">
        <v>36</v>
      </c>
      <c r="E1263" s="1" t="s">
        <v>32</v>
      </c>
      <c r="F1263" s="1" t="s">
        <v>38</v>
      </c>
      <c r="G1263" s="1" t="s">
        <v>39</v>
      </c>
      <c r="H1263" s="1">
        <v>1</v>
      </c>
      <c r="I1263" s="1">
        <v>1</v>
      </c>
      <c r="J1263" s="1">
        <v>1</v>
      </c>
      <c r="K1263" s="1">
        <v>0</v>
      </c>
      <c r="L1263" s="1">
        <v>0</v>
      </c>
      <c r="M1263" s="1">
        <v>0</v>
      </c>
      <c r="N1263" s="1">
        <f t="shared" si="19"/>
        <v>0</v>
      </c>
      <c r="O1263" s="1">
        <v>0</v>
      </c>
      <c r="P1263" s="1"/>
      <c r="Q1263" s="1">
        <v>78.7</v>
      </c>
    </row>
    <row r="1264" spans="1:17">
      <c r="A1264" s="1" t="s">
        <v>1304</v>
      </c>
      <c r="B1264" s="4">
        <v>45706</v>
      </c>
      <c r="C1264" s="1" t="s">
        <v>2</v>
      </c>
      <c r="D1264" s="1" t="s">
        <v>31</v>
      </c>
      <c r="E1264" s="1" t="s">
        <v>37</v>
      </c>
      <c r="F1264" s="1" t="s">
        <v>54</v>
      </c>
      <c r="G1264" s="1" t="s">
        <v>39</v>
      </c>
      <c r="H1264" s="1">
        <v>1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f t="shared" si="19"/>
        <v>0</v>
      </c>
      <c r="O1264" s="1">
        <v>0</v>
      </c>
      <c r="P1264" s="1"/>
      <c r="Q1264" s="1">
        <v>49.6</v>
      </c>
    </row>
    <row r="1265" spans="1:17">
      <c r="A1265" s="1" t="s">
        <v>1305</v>
      </c>
      <c r="B1265" s="4">
        <v>45666</v>
      </c>
      <c r="C1265" s="1" t="s">
        <v>2</v>
      </c>
      <c r="D1265" s="1" t="s">
        <v>41</v>
      </c>
      <c r="E1265" s="1" t="s">
        <v>37</v>
      </c>
      <c r="F1265" s="1" t="s">
        <v>38</v>
      </c>
      <c r="G1265" s="1" t="s">
        <v>39</v>
      </c>
      <c r="H1265" s="1">
        <v>1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f t="shared" si="19"/>
        <v>0</v>
      </c>
      <c r="O1265" s="1">
        <v>0</v>
      </c>
      <c r="P1265" s="1"/>
      <c r="Q1265" s="1">
        <v>58</v>
      </c>
    </row>
    <row r="1266" spans="1:17">
      <c r="A1266" s="1" t="s">
        <v>1306</v>
      </c>
      <c r="B1266" s="4">
        <v>45706</v>
      </c>
      <c r="C1266" s="1" t="s">
        <v>2</v>
      </c>
      <c r="D1266" s="1" t="s">
        <v>31</v>
      </c>
      <c r="E1266" s="1" t="s">
        <v>32</v>
      </c>
      <c r="F1266" s="1" t="s">
        <v>42</v>
      </c>
      <c r="G1266" s="1" t="s">
        <v>39</v>
      </c>
      <c r="H1266" s="1">
        <v>1</v>
      </c>
      <c r="I1266" s="1">
        <v>0</v>
      </c>
      <c r="J1266" s="1">
        <v>0</v>
      </c>
      <c r="K1266" s="1">
        <v>0</v>
      </c>
      <c r="L1266" s="1">
        <v>0</v>
      </c>
      <c r="M1266" s="1">
        <v>1</v>
      </c>
      <c r="N1266" s="1">
        <f t="shared" si="19"/>
        <v>1</v>
      </c>
      <c r="O1266" s="1">
        <v>0</v>
      </c>
      <c r="P1266" s="1"/>
      <c r="Q1266" s="1">
        <v>54.4</v>
      </c>
    </row>
    <row r="1267" spans="1:17">
      <c r="A1267" s="1" t="s">
        <v>1307</v>
      </c>
      <c r="B1267" s="4">
        <v>45667</v>
      </c>
      <c r="C1267" s="1" t="s">
        <v>2</v>
      </c>
      <c r="D1267" s="1" t="s">
        <v>41</v>
      </c>
      <c r="E1267" s="1" t="s">
        <v>37</v>
      </c>
      <c r="F1267" s="1" t="s">
        <v>52</v>
      </c>
      <c r="G1267" s="1" t="s">
        <v>39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f t="shared" si="19"/>
        <v>0</v>
      </c>
      <c r="O1267" s="1">
        <v>0</v>
      </c>
      <c r="P1267" s="1"/>
      <c r="Q1267" s="1">
        <v>33.700000000000003</v>
      </c>
    </row>
    <row r="1268" spans="1:17">
      <c r="A1268" s="1" t="s">
        <v>1308</v>
      </c>
      <c r="B1268" s="4">
        <v>45724</v>
      </c>
      <c r="C1268" s="1" t="s">
        <v>2</v>
      </c>
      <c r="D1268" s="1" t="s">
        <v>36</v>
      </c>
      <c r="E1268" s="1" t="s">
        <v>37</v>
      </c>
      <c r="F1268" s="1" t="s">
        <v>33</v>
      </c>
      <c r="G1268" s="1" t="s">
        <v>39</v>
      </c>
      <c r="H1268" s="1">
        <v>1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f t="shared" si="19"/>
        <v>0</v>
      </c>
      <c r="O1268" s="1">
        <v>0</v>
      </c>
      <c r="P1268" s="1"/>
      <c r="Q1268" s="1">
        <v>72.7</v>
      </c>
    </row>
    <row r="1269" spans="1:17">
      <c r="A1269" s="1" t="s">
        <v>1309</v>
      </c>
      <c r="B1269" s="4">
        <v>45763</v>
      </c>
      <c r="C1269" s="1" t="s">
        <v>2</v>
      </c>
      <c r="D1269" s="1" t="s">
        <v>41</v>
      </c>
      <c r="E1269" s="1" t="s">
        <v>32</v>
      </c>
      <c r="F1269" s="1" t="s">
        <v>42</v>
      </c>
      <c r="G1269" s="1" t="s">
        <v>34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f t="shared" si="19"/>
        <v>0</v>
      </c>
      <c r="O1269" s="1">
        <v>0</v>
      </c>
      <c r="P1269" s="1"/>
      <c r="Q1269" s="1">
        <v>64.7</v>
      </c>
    </row>
    <row r="1270" spans="1:17">
      <c r="A1270" s="1" t="s">
        <v>1310</v>
      </c>
      <c r="B1270" s="4">
        <v>45707</v>
      </c>
      <c r="C1270" s="1" t="s">
        <v>2</v>
      </c>
      <c r="D1270" s="1" t="s">
        <v>36</v>
      </c>
      <c r="E1270" s="1" t="s">
        <v>32</v>
      </c>
      <c r="F1270" s="1" t="s">
        <v>42</v>
      </c>
      <c r="G1270" s="1" t="s">
        <v>43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1</v>
      </c>
      <c r="N1270" s="1">
        <f t="shared" si="19"/>
        <v>1</v>
      </c>
      <c r="O1270" s="1">
        <v>0</v>
      </c>
      <c r="P1270" s="1"/>
      <c r="Q1270" s="1">
        <v>48.6</v>
      </c>
    </row>
    <row r="1271" spans="1:17">
      <c r="A1271" s="1" t="s">
        <v>1311</v>
      </c>
      <c r="B1271" s="4">
        <v>45732</v>
      </c>
      <c r="C1271" s="1" t="s">
        <v>2</v>
      </c>
      <c r="D1271" s="1" t="s">
        <v>41</v>
      </c>
      <c r="E1271" s="1" t="s">
        <v>32</v>
      </c>
      <c r="F1271" s="1" t="s">
        <v>54</v>
      </c>
      <c r="G1271" s="1" t="s">
        <v>39</v>
      </c>
      <c r="H1271" s="1">
        <v>1</v>
      </c>
      <c r="I1271" s="1">
        <v>1</v>
      </c>
      <c r="J1271" s="1">
        <v>0</v>
      </c>
      <c r="K1271" s="1">
        <v>0</v>
      </c>
      <c r="L1271" s="1">
        <v>0</v>
      </c>
      <c r="M1271" s="1">
        <v>0</v>
      </c>
      <c r="N1271" s="1">
        <f t="shared" si="19"/>
        <v>0</v>
      </c>
      <c r="O1271" s="1">
        <v>0</v>
      </c>
      <c r="P1271" s="1"/>
      <c r="Q1271" s="1">
        <v>66.2</v>
      </c>
    </row>
    <row r="1272" spans="1:17">
      <c r="A1272" s="1" t="s">
        <v>1312</v>
      </c>
      <c r="B1272" s="4">
        <v>45691</v>
      </c>
      <c r="C1272" s="1" t="s">
        <v>2</v>
      </c>
      <c r="D1272" s="1" t="s">
        <v>36</v>
      </c>
      <c r="E1272" s="1"/>
      <c r="F1272" s="1" t="s">
        <v>52</v>
      </c>
      <c r="G1272" s="1" t="s">
        <v>34</v>
      </c>
      <c r="H1272" s="1">
        <v>1</v>
      </c>
      <c r="I1272" s="1">
        <v>0</v>
      </c>
      <c r="J1272" s="1">
        <v>0</v>
      </c>
      <c r="K1272" s="1">
        <v>0</v>
      </c>
      <c r="L1272" s="1">
        <v>0</v>
      </c>
      <c r="M1272" s="1">
        <v>1</v>
      </c>
      <c r="N1272" s="1">
        <f t="shared" si="19"/>
        <v>1</v>
      </c>
      <c r="O1272" s="1">
        <v>0</v>
      </c>
      <c r="P1272" s="1"/>
      <c r="Q1272" s="1">
        <v>60.7</v>
      </c>
    </row>
    <row r="1273" spans="1:17">
      <c r="A1273" s="1" t="s">
        <v>1313</v>
      </c>
      <c r="B1273" s="4">
        <v>45728</v>
      </c>
      <c r="C1273" s="1" t="s">
        <v>2</v>
      </c>
      <c r="D1273" s="1" t="s">
        <v>36</v>
      </c>
      <c r="E1273" s="1" t="s">
        <v>37</v>
      </c>
      <c r="F1273" s="1" t="s">
        <v>42</v>
      </c>
      <c r="G1273" s="1" t="s">
        <v>34</v>
      </c>
      <c r="H1273" s="1">
        <v>1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f t="shared" si="19"/>
        <v>0</v>
      </c>
      <c r="O1273" s="1">
        <v>0</v>
      </c>
      <c r="P1273" s="1"/>
      <c r="Q1273" s="1">
        <v>36.5</v>
      </c>
    </row>
    <row r="1274" spans="1:17">
      <c r="A1274" s="1" t="s">
        <v>1314</v>
      </c>
      <c r="B1274" s="4">
        <v>45786</v>
      </c>
      <c r="C1274" s="1" t="s">
        <v>2</v>
      </c>
      <c r="D1274" s="1" t="s">
        <v>36</v>
      </c>
      <c r="E1274" s="1" t="s">
        <v>37</v>
      </c>
      <c r="F1274" s="1" t="s">
        <v>54</v>
      </c>
      <c r="G1274" s="1" t="s">
        <v>39</v>
      </c>
      <c r="H1274" s="1">
        <v>1</v>
      </c>
      <c r="I1274" s="1">
        <v>1</v>
      </c>
      <c r="J1274" s="1">
        <v>1</v>
      </c>
      <c r="K1274" s="1">
        <v>0</v>
      </c>
      <c r="L1274" s="1">
        <v>0</v>
      </c>
      <c r="M1274" s="1">
        <v>3</v>
      </c>
      <c r="N1274" s="1">
        <f t="shared" si="19"/>
        <v>1</v>
      </c>
      <c r="O1274" s="1">
        <v>0</v>
      </c>
      <c r="P1274" s="1"/>
      <c r="Q1274" s="1">
        <v>69.7</v>
      </c>
    </row>
    <row r="1275" spans="1:17">
      <c r="A1275" s="1" t="s">
        <v>1315</v>
      </c>
      <c r="B1275" s="4">
        <v>45676</v>
      </c>
      <c r="C1275" s="1" t="s">
        <v>2</v>
      </c>
      <c r="D1275" s="1" t="s">
        <v>45</v>
      </c>
      <c r="E1275" s="1" t="s">
        <v>32</v>
      </c>
      <c r="F1275" s="1" t="s">
        <v>54</v>
      </c>
      <c r="G1275" s="1" t="s">
        <v>43</v>
      </c>
      <c r="H1275" s="1">
        <v>1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f t="shared" si="19"/>
        <v>0</v>
      </c>
      <c r="O1275" s="1">
        <v>0</v>
      </c>
      <c r="P1275" s="1"/>
      <c r="Q1275" s="1">
        <v>81.8</v>
      </c>
    </row>
    <row r="1276" spans="1:17">
      <c r="A1276" s="1" t="s">
        <v>1316</v>
      </c>
      <c r="B1276" s="4">
        <v>45681</v>
      </c>
      <c r="C1276" s="1" t="s">
        <v>2</v>
      </c>
      <c r="D1276" s="1" t="s">
        <v>36</v>
      </c>
      <c r="E1276" s="1" t="s">
        <v>37</v>
      </c>
      <c r="F1276" s="1" t="s">
        <v>52</v>
      </c>
      <c r="G1276" s="1" t="s">
        <v>39</v>
      </c>
      <c r="H1276" s="1">
        <v>1</v>
      </c>
      <c r="I1276" s="1">
        <v>1</v>
      </c>
      <c r="J1276" s="1">
        <v>1</v>
      </c>
      <c r="K1276" s="1">
        <v>0</v>
      </c>
      <c r="L1276" s="1">
        <v>0</v>
      </c>
      <c r="M1276" s="1">
        <v>1</v>
      </c>
      <c r="N1276" s="1">
        <f t="shared" si="19"/>
        <v>1</v>
      </c>
      <c r="O1276" s="1">
        <v>0</v>
      </c>
      <c r="P1276" s="1"/>
      <c r="Q1276" s="1">
        <v>78.3</v>
      </c>
    </row>
    <row r="1277" spans="1:17">
      <c r="A1277" s="1" t="s">
        <v>1317</v>
      </c>
      <c r="B1277" s="4">
        <v>45719</v>
      </c>
      <c r="C1277" s="1" t="s">
        <v>2</v>
      </c>
      <c r="D1277" s="1" t="s">
        <v>41</v>
      </c>
      <c r="E1277" s="1" t="s">
        <v>37</v>
      </c>
      <c r="F1277" s="1" t="s">
        <v>52</v>
      </c>
      <c r="G1277" s="1" t="s">
        <v>39</v>
      </c>
      <c r="H1277" s="1">
        <v>1</v>
      </c>
      <c r="I1277" s="1">
        <v>1</v>
      </c>
      <c r="J1277" s="1">
        <v>0</v>
      </c>
      <c r="K1277" s="1">
        <v>0</v>
      </c>
      <c r="L1277" s="1">
        <v>0</v>
      </c>
      <c r="M1277" s="1">
        <v>0</v>
      </c>
      <c r="N1277" s="1">
        <f t="shared" si="19"/>
        <v>0</v>
      </c>
      <c r="O1277" s="1">
        <v>0</v>
      </c>
      <c r="P1277" s="1"/>
      <c r="Q1277" s="1">
        <v>79.400000000000006</v>
      </c>
    </row>
    <row r="1278" spans="1:17">
      <c r="A1278" s="1" t="s">
        <v>1318</v>
      </c>
      <c r="B1278" s="4">
        <v>45804</v>
      </c>
      <c r="C1278" s="1" t="s">
        <v>2</v>
      </c>
      <c r="D1278" s="1" t="s">
        <v>31</v>
      </c>
      <c r="E1278" s="1" t="s">
        <v>32</v>
      </c>
      <c r="F1278" s="1" t="s">
        <v>52</v>
      </c>
      <c r="G1278" s="1" t="s">
        <v>39</v>
      </c>
      <c r="H1278" s="1">
        <v>1</v>
      </c>
      <c r="I1278" s="1">
        <v>1</v>
      </c>
      <c r="J1278" s="1">
        <v>1</v>
      </c>
      <c r="K1278" s="1">
        <v>0</v>
      </c>
      <c r="L1278" s="1">
        <v>0</v>
      </c>
      <c r="M1278" s="1">
        <v>0</v>
      </c>
      <c r="N1278" s="1">
        <f t="shared" si="19"/>
        <v>0</v>
      </c>
      <c r="O1278" s="1">
        <v>0</v>
      </c>
      <c r="P1278" s="1"/>
      <c r="Q1278" s="1">
        <v>54.9</v>
      </c>
    </row>
    <row r="1279" spans="1:17">
      <c r="A1279" s="1" t="s">
        <v>1319</v>
      </c>
      <c r="B1279" s="4">
        <v>45770</v>
      </c>
      <c r="C1279" s="1" t="s">
        <v>2</v>
      </c>
      <c r="D1279" s="1" t="s">
        <v>36</v>
      </c>
      <c r="E1279" s="1" t="s">
        <v>32</v>
      </c>
      <c r="F1279" s="1" t="s">
        <v>38</v>
      </c>
      <c r="G1279" s="1" t="s">
        <v>34</v>
      </c>
      <c r="H1279" s="1">
        <v>1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f t="shared" si="19"/>
        <v>0</v>
      </c>
      <c r="O1279" s="1">
        <v>0</v>
      </c>
      <c r="P1279" s="1"/>
      <c r="Q1279" s="1">
        <v>54.9</v>
      </c>
    </row>
    <row r="1280" spans="1:17">
      <c r="A1280" s="1" t="s">
        <v>1320</v>
      </c>
      <c r="B1280" s="4">
        <v>45698</v>
      </c>
      <c r="C1280" s="1" t="s">
        <v>2</v>
      </c>
      <c r="D1280" s="1" t="s">
        <v>41</v>
      </c>
      <c r="E1280" s="1" t="s">
        <v>32</v>
      </c>
      <c r="F1280" s="1" t="s">
        <v>54</v>
      </c>
      <c r="G1280" s="1" t="s">
        <v>39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f t="shared" si="19"/>
        <v>0</v>
      </c>
      <c r="O1280" s="1">
        <v>0</v>
      </c>
      <c r="P1280" s="1"/>
      <c r="Q1280" s="1">
        <v>28.7</v>
      </c>
    </row>
    <row r="1281" spans="1:17">
      <c r="A1281" s="1" t="s">
        <v>1321</v>
      </c>
      <c r="B1281" s="4">
        <v>45699</v>
      </c>
      <c r="C1281" s="1" t="s">
        <v>2</v>
      </c>
      <c r="D1281" s="1" t="s">
        <v>31</v>
      </c>
      <c r="E1281" s="1" t="s">
        <v>37</v>
      </c>
      <c r="F1281" s="1" t="s">
        <v>38</v>
      </c>
      <c r="G1281" s="1" t="s">
        <v>39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f t="shared" si="19"/>
        <v>0</v>
      </c>
      <c r="O1281" s="1">
        <v>0</v>
      </c>
      <c r="P1281" s="1"/>
      <c r="Q1281" s="1">
        <v>68.8</v>
      </c>
    </row>
    <row r="1282" spans="1:17">
      <c r="A1282" s="1" t="s">
        <v>1322</v>
      </c>
      <c r="B1282" s="4">
        <v>45678</v>
      </c>
      <c r="C1282" s="1" t="s">
        <v>2</v>
      </c>
      <c r="D1282" s="1" t="s">
        <v>41</v>
      </c>
      <c r="E1282" s="1" t="s">
        <v>32</v>
      </c>
      <c r="F1282" s="1" t="s">
        <v>42</v>
      </c>
      <c r="G1282" s="1" t="s">
        <v>39</v>
      </c>
      <c r="H1282" s="1">
        <v>1</v>
      </c>
      <c r="I1282" s="1">
        <v>1</v>
      </c>
      <c r="J1282" s="1">
        <v>1</v>
      </c>
      <c r="K1282" s="1">
        <v>0</v>
      </c>
      <c r="L1282" s="1">
        <v>0</v>
      </c>
      <c r="M1282" s="1">
        <v>0</v>
      </c>
      <c r="N1282" s="1">
        <f t="shared" si="19"/>
        <v>0</v>
      </c>
      <c r="O1282" s="1">
        <v>0</v>
      </c>
      <c r="P1282" s="1"/>
      <c r="Q1282" s="1">
        <v>43.5</v>
      </c>
    </row>
    <row r="1283" spans="1:17">
      <c r="A1283" s="1" t="s">
        <v>1323</v>
      </c>
      <c r="B1283" s="4">
        <v>45690</v>
      </c>
      <c r="C1283" s="1" t="s">
        <v>2</v>
      </c>
      <c r="D1283" s="1" t="s">
        <v>36</v>
      </c>
      <c r="E1283" s="1" t="s">
        <v>32</v>
      </c>
      <c r="F1283" s="1" t="s">
        <v>54</v>
      </c>
      <c r="G1283" s="1" t="s">
        <v>39</v>
      </c>
      <c r="H1283" s="1">
        <v>1</v>
      </c>
      <c r="I1283" s="1">
        <v>1</v>
      </c>
      <c r="J1283" s="1">
        <v>0</v>
      </c>
      <c r="K1283" s="1">
        <v>0</v>
      </c>
      <c r="L1283" s="1">
        <v>0</v>
      </c>
      <c r="M1283" s="1">
        <v>0</v>
      </c>
      <c r="N1283" s="1">
        <f t="shared" ref="N1283:N1346" si="20">IF(M1283&gt;0,1,0)</f>
        <v>0</v>
      </c>
      <c r="O1283" s="1">
        <v>0</v>
      </c>
      <c r="P1283" s="1"/>
      <c r="Q1283" s="1">
        <v>62.6</v>
      </c>
    </row>
    <row r="1284" spans="1:17">
      <c r="A1284" s="1" t="s">
        <v>1324</v>
      </c>
      <c r="B1284" s="4">
        <v>45690</v>
      </c>
      <c r="C1284" s="1" t="s">
        <v>2</v>
      </c>
      <c r="D1284" s="1" t="s">
        <v>36</v>
      </c>
      <c r="E1284" s="1" t="s">
        <v>37</v>
      </c>
      <c r="F1284" s="1" t="s">
        <v>38</v>
      </c>
      <c r="G1284" s="1" t="s">
        <v>39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1</v>
      </c>
      <c r="N1284" s="1">
        <f t="shared" si="20"/>
        <v>1</v>
      </c>
      <c r="O1284" s="1">
        <v>0</v>
      </c>
      <c r="P1284" s="1"/>
      <c r="Q1284" s="1">
        <v>54.1</v>
      </c>
    </row>
    <row r="1285" spans="1:17">
      <c r="A1285" s="1" t="s">
        <v>1325</v>
      </c>
      <c r="B1285" s="4">
        <v>45714</v>
      </c>
      <c r="C1285" s="1" t="s">
        <v>2</v>
      </c>
      <c r="D1285" s="1" t="s">
        <v>36</v>
      </c>
      <c r="E1285" s="1" t="s">
        <v>47</v>
      </c>
      <c r="F1285" s="1" t="s">
        <v>54</v>
      </c>
      <c r="G1285" s="1" t="s">
        <v>39</v>
      </c>
      <c r="H1285" s="1">
        <v>1</v>
      </c>
      <c r="I1285" s="1">
        <v>1</v>
      </c>
      <c r="J1285" s="1">
        <v>1</v>
      </c>
      <c r="K1285" s="1">
        <v>0</v>
      </c>
      <c r="L1285" s="1">
        <v>0</v>
      </c>
      <c r="M1285" s="1">
        <v>0</v>
      </c>
      <c r="N1285" s="1">
        <f t="shared" si="20"/>
        <v>0</v>
      </c>
      <c r="O1285" s="1">
        <v>0</v>
      </c>
      <c r="P1285" s="1"/>
      <c r="Q1285" s="1">
        <v>80.099999999999994</v>
      </c>
    </row>
    <row r="1286" spans="1:17">
      <c r="A1286" s="1" t="s">
        <v>1326</v>
      </c>
      <c r="B1286" s="4">
        <v>45769</v>
      </c>
      <c r="C1286" s="1" t="s">
        <v>2</v>
      </c>
      <c r="D1286" s="1" t="s">
        <v>31</v>
      </c>
      <c r="E1286" s="1" t="s">
        <v>37</v>
      </c>
      <c r="F1286" s="1" t="s">
        <v>54</v>
      </c>
      <c r="G1286" s="1" t="s">
        <v>43</v>
      </c>
      <c r="H1286" s="1">
        <v>1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f t="shared" si="20"/>
        <v>0</v>
      </c>
      <c r="O1286" s="1">
        <v>0</v>
      </c>
      <c r="P1286" s="1"/>
      <c r="Q1286" s="1">
        <v>69.5</v>
      </c>
    </row>
    <row r="1287" spans="1:17">
      <c r="A1287" s="1" t="s">
        <v>1327</v>
      </c>
      <c r="B1287" s="4">
        <v>45727</v>
      </c>
      <c r="C1287" s="1" t="s">
        <v>2</v>
      </c>
      <c r="D1287" s="1" t="s">
        <v>31</v>
      </c>
      <c r="E1287" s="1" t="s">
        <v>32</v>
      </c>
      <c r="F1287" s="1" t="s">
        <v>38</v>
      </c>
      <c r="G1287" s="1" t="s">
        <v>34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2</v>
      </c>
      <c r="N1287" s="1">
        <f t="shared" si="20"/>
        <v>1</v>
      </c>
      <c r="O1287" s="1">
        <v>0</v>
      </c>
      <c r="P1287" s="1"/>
      <c r="Q1287" s="1">
        <v>46.6</v>
      </c>
    </row>
    <row r="1288" spans="1:17">
      <c r="A1288" s="1" t="s">
        <v>1328</v>
      </c>
      <c r="B1288" s="4">
        <v>45785</v>
      </c>
      <c r="C1288" s="1" t="s">
        <v>2</v>
      </c>
      <c r="D1288" s="1" t="s">
        <v>45</v>
      </c>
      <c r="E1288" s="1" t="s">
        <v>37</v>
      </c>
      <c r="F1288" s="1" t="s">
        <v>38</v>
      </c>
      <c r="G1288" s="1" t="s">
        <v>43</v>
      </c>
      <c r="H1288" s="1">
        <v>1</v>
      </c>
      <c r="I1288" s="1">
        <v>0</v>
      </c>
      <c r="J1288" s="1">
        <v>0</v>
      </c>
      <c r="K1288" s="1">
        <v>0</v>
      </c>
      <c r="L1288" s="1">
        <v>0</v>
      </c>
      <c r="M1288" s="1">
        <v>1</v>
      </c>
      <c r="N1288" s="1">
        <f t="shared" si="20"/>
        <v>1</v>
      </c>
      <c r="O1288" s="1">
        <v>0</v>
      </c>
      <c r="P1288" s="1"/>
      <c r="Q1288" s="1">
        <v>54.9</v>
      </c>
    </row>
    <row r="1289" spans="1:17">
      <c r="A1289" s="1" t="s">
        <v>1329</v>
      </c>
      <c r="B1289" s="4">
        <v>45726</v>
      </c>
      <c r="C1289" s="1" t="s">
        <v>2</v>
      </c>
      <c r="D1289" s="1" t="s">
        <v>41</v>
      </c>
      <c r="E1289" s="1" t="s">
        <v>32</v>
      </c>
      <c r="F1289" s="1" t="s">
        <v>38</v>
      </c>
      <c r="G1289" s="1" t="s">
        <v>39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f t="shared" si="20"/>
        <v>0</v>
      </c>
      <c r="O1289" s="1">
        <v>0</v>
      </c>
      <c r="P1289" s="1"/>
      <c r="Q1289" s="1">
        <v>100</v>
      </c>
    </row>
    <row r="1290" spans="1:17">
      <c r="A1290" s="1" t="s">
        <v>1330</v>
      </c>
      <c r="B1290" s="4">
        <v>45763</v>
      </c>
      <c r="C1290" s="1" t="s">
        <v>2</v>
      </c>
      <c r="D1290" s="1" t="s">
        <v>41</v>
      </c>
      <c r="E1290" s="1" t="s">
        <v>32</v>
      </c>
      <c r="F1290" s="1" t="s">
        <v>42</v>
      </c>
      <c r="G1290" s="1" t="s">
        <v>39</v>
      </c>
      <c r="H1290" s="1">
        <v>1</v>
      </c>
      <c r="I1290" s="1">
        <v>1</v>
      </c>
      <c r="J1290" s="1">
        <v>1</v>
      </c>
      <c r="K1290" s="1">
        <v>0</v>
      </c>
      <c r="L1290" s="1">
        <v>0</v>
      </c>
      <c r="M1290" s="1">
        <v>1</v>
      </c>
      <c r="N1290" s="1">
        <f t="shared" si="20"/>
        <v>1</v>
      </c>
      <c r="O1290" s="1">
        <v>0</v>
      </c>
      <c r="P1290" s="1"/>
      <c r="Q1290" s="1">
        <v>80.5</v>
      </c>
    </row>
    <row r="1291" spans="1:17">
      <c r="A1291" s="1" t="s">
        <v>1331</v>
      </c>
      <c r="B1291" s="4">
        <v>45717</v>
      </c>
      <c r="C1291" s="1" t="s">
        <v>2</v>
      </c>
      <c r="D1291" s="1" t="s">
        <v>36</v>
      </c>
      <c r="E1291" s="1" t="s">
        <v>47</v>
      </c>
      <c r="F1291" s="1" t="s">
        <v>38</v>
      </c>
      <c r="G1291" s="1" t="s">
        <v>34</v>
      </c>
      <c r="H1291" s="1">
        <v>1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f t="shared" si="20"/>
        <v>0</v>
      </c>
      <c r="O1291" s="1">
        <v>0</v>
      </c>
      <c r="P1291" s="1"/>
      <c r="Q1291" s="1">
        <v>51.2</v>
      </c>
    </row>
    <row r="1292" spans="1:17">
      <c r="A1292" s="1" t="s">
        <v>1332</v>
      </c>
      <c r="B1292" s="4">
        <v>45675</v>
      </c>
      <c r="C1292" s="1" t="s">
        <v>2</v>
      </c>
      <c r="D1292" s="1" t="s">
        <v>45</v>
      </c>
      <c r="E1292" s="1" t="s">
        <v>32</v>
      </c>
      <c r="F1292" s="1" t="s">
        <v>38</v>
      </c>
      <c r="G1292" s="1" t="s">
        <v>43</v>
      </c>
      <c r="H1292" s="1">
        <v>1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f t="shared" si="20"/>
        <v>0</v>
      </c>
      <c r="O1292" s="1">
        <v>0</v>
      </c>
      <c r="P1292" s="1"/>
      <c r="Q1292" s="1">
        <v>42.5</v>
      </c>
    </row>
    <row r="1293" spans="1:17">
      <c r="A1293" s="1" t="s">
        <v>1333</v>
      </c>
      <c r="B1293" s="4">
        <v>45746</v>
      </c>
      <c r="C1293" s="1" t="s">
        <v>2</v>
      </c>
      <c r="D1293" s="1" t="s">
        <v>31</v>
      </c>
      <c r="E1293" s="1" t="s">
        <v>37</v>
      </c>
      <c r="F1293" s="1" t="s">
        <v>42</v>
      </c>
      <c r="G1293" s="1" t="s">
        <v>39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f t="shared" si="20"/>
        <v>0</v>
      </c>
      <c r="O1293" s="1">
        <v>0</v>
      </c>
      <c r="P1293" s="1"/>
      <c r="Q1293" s="1">
        <v>72.5</v>
      </c>
    </row>
    <row r="1294" spans="1:17">
      <c r="A1294" s="1" t="s">
        <v>1334</v>
      </c>
      <c r="B1294" s="4">
        <v>45803</v>
      </c>
      <c r="C1294" s="1" t="s">
        <v>2</v>
      </c>
      <c r="D1294" s="1" t="s">
        <v>36</v>
      </c>
      <c r="E1294" s="1" t="s">
        <v>37</v>
      </c>
      <c r="F1294" s="1" t="s">
        <v>54</v>
      </c>
      <c r="G1294" s="1" t="s">
        <v>43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f t="shared" si="20"/>
        <v>0</v>
      </c>
      <c r="O1294" s="1">
        <v>0</v>
      </c>
      <c r="P1294" s="1"/>
      <c r="Q1294" s="1">
        <v>74.400000000000006</v>
      </c>
    </row>
    <row r="1295" spans="1:17">
      <c r="A1295" s="1" t="s">
        <v>1335</v>
      </c>
      <c r="B1295" s="4">
        <v>45735</v>
      </c>
      <c r="C1295" s="1" t="s">
        <v>2</v>
      </c>
      <c r="D1295" s="1" t="s">
        <v>41</v>
      </c>
      <c r="E1295" s="1" t="s">
        <v>32</v>
      </c>
      <c r="F1295" s="1" t="s">
        <v>54</v>
      </c>
      <c r="G1295" s="1" t="s">
        <v>39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f t="shared" si="20"/>
        <v>0</v>
      </c>
      <c r="O1295" s="1">
        <v>0</v>
      </c>
      <c r="P1295" s="1"/>
      <c r="Q1295" s="1">
        <v>78.400000000000006</v>
      </c>
    </row>
    <row r="1296" spans="1:17">
      <c r="A1296" s="1" t="s">
        <v>1336</v>
      </c>
      <c r="B1296" s="4">
        <v>45744</v>
      </c>
      <c r="C1296" s="1" t="s">
        <v>2</v>
      </c>
      <c r="D1296" s="1" t="s">
        <v>31</v>
      </c>
      <c r="E1296" s="1" t="s">
        <v>32</v>
      </c>
      <c r="F1296" s="1" t="s">
        <v>52</v>
      </c>
      <c r="G1296" s="1" t="s">
        <v>39</v>
      </c>
      <c r="H1296" s="1">
        <v>1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f t="shared" si="20"/>
        <v>0</v>
      </c>
      <c r="O1296" s="1">
        <v>0</v>
      </c>
      <c r="P1296" s="1"/>
      <c r="Q1296" s="1">
        <v>71.5</v>
      </c>
    </row>
    <row r="1297" spans="1:17">
      <c r="A1297" s="1" t="s">
        <v>1337</v>
      </c>
      <c r="B1297" s="4">
        <v>45805</v>
      </c>
      <c r="C1297" s="1" t="s">
        <v>2</v>
      </c>
      <c r="D1297" s="1" t="s">
        <v>45</v>
      </c>
      <c r="E1297" s="1" t="s">
        <v>32</v>
      </c>
      <c r="F1297" s="1" t="s">
        <v>54</v>
      </c>
      <c r="G1297" s="1" t="s">
        <v>39</v>
      </c>
      <c r="H1297" s="1">
        <v>1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f t="shared" si="20"/>
        <v>0</v>
      </c>
      <c r="O1297" s="1">
        <v>0</v>
      </c>
      <c r="P1297" s="1"/>
      <c r="Q1297" s="1">
        <v>66.7</v>
      </c>
    </row>
    <row r="1298" spans="1:17">
      <c r="A1298" s="1" t="s">
        <v>1338</v>
      </c>
      <c r="B1298" s="4">
        <v>45808</v>
      </c>
      <c r="C1298" s="1" t="s">
        <v>2</v>
      </c>
      <c r="D1298" s="1" t="s">
        <v>45</v>
      </c>
      <c r="E1298" s="1" t="s">
        <v>32</v>
      </c>
      <c r="F1298" s="1" t="s">
        <v>52</v>
      </c>
      <c r="G1298" s="1" t="s">
        <v>43</v>
      </c>
      <c r="H1298" s="1">
        <v>1</v>
      </c>
      <c r="I1298" s="1">
        <v>1</v>
      </c>
      <c r="J1298" s="1">
        <v>1</v>
      </c>
      <c r="K1298" s="1">
        <v>1</v>
      </c>
      <c r="L1298" s="1">
        <v>1496.09</v>
      </c>
      <c r="M1298" s="1">
        <v>0</v>
      </c>
      <c r="N1298" s="1">
        <f t="shared" si="20"/>
        <v>0</v>
      </c>
      <c r="O1298" s="1">
        <v>0</v>
      </c>
      <c r="P1298" s="1">
        <v>7</v>
      </c>
      <c r="Q1298" s="1">
        <v>60.4</v>
      </c>
    </row>
    <row r="1299" spans="1:17">
      <c r="A1299" s="1" t="s">
        <v>1339</v>
      </c>
      <c r="B1299" s="4">
        <v>45787</v>
      </c>
      <c r="C1299" s="1" t="s">
        <v>2</v>
      </c>
      <c r="D1299" s="1" t="s">
        <v>31</v>
      </c>
      <c r="E1299" s="1" t="s">
        <v>37</v>
      </c>
      <c r="F1299" s="1" t="s">
        <v>52</v>
      </c>
      <c r="G1299" s="1" t="s">
        <v>39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1</v>
      </c>
      <c r="N1299" s="1">
        <f t="shared" si="20"/>
        <v>1</v>
      </c>
      <c r="O1299" s="1">
        <v>0</v>
      </c>
      <c r="P1299" s="1"/>
      <c r="Q1299" s="1">
        <v>72.900000000000006</v>
      </c>
    </row>
    <row r="1300" spans="1:17">
      <c r="A1300" s="1" t="s">
        <v>1340</v>
      </c>
      <c r="B1300" s="4">
        <v>45794</v>
      </c>
      <c r="C1300" s="1" t="s">
        <v>2</v>
      </c>
      <c r="D1300" s="1" t="s">
        <v>36</v>
      </c>
      <c r="E1300" s="1" t="s">
        <v>37</v>
      </c>
      <c r="F1300" s="1" t="s">
        <v>38</v>
      </c>
      <c r="G1300" s="1" t="s">
        <v>39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3</v>
      </c>
      <c r="N1300" s="1">
        <f t="shared" si="20"/>
        <v>1</v>
      </c>
      <c r="O1300" s="1">
        <v>0</v>
      </c>
      <c r="P1300" s="1"/>
      <c r="Q1300" s="1"/>
    </row>
    <row r="1301" spans="1:17">
      <c r="A1301" s="1" t="s">
        <v>1341</v>
      </c>
      <c r="B1301" s="4">
        <v>45675</v>
      </c>
      <c r="C1301" s="1" t="s">
        <v>2</v>
      </c>
      <c r="D1301" s="1" t="s">
        <v>45</v>
      </c>
      <c r="E1301" s="1" t="s">
        <v>37</v>
      </c>
      <c r="F1301" s="1" t="s">
        <v>38</v>
      </c>
      <c r="G1301" s="1" t="s">
        <v>43</v>
      </c>
      <c r="H1301" s="1">
        <v>1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f t="shared" si="20"/>
        <v>0</v>
      </c>
      <c r="O1301" s="1">
        <v>0</v>
      </c>
      <c r="P1301" s="1"/>
      <c r="Q1301" s="1">
        <v>55.2</v>
      </c>
    </row>
    <row r="1302" spans="1:17">
      <c r="A1302" s="1" t="s">
        <v>1342</v>
      </c>
      <c r="B1302" s="4">
        <v>45781</v>
      </c>
      <c r="C1302" s="1" t="s">
        <v>2</v>
      </c>
      <c r="D1302" s="1" t="s">
        <v>36</v>
      </c>
      <c r="E1302" s="1" t="s">
        <v>37</v>
      </c>
      <c r="F1302" s="1" t="s">
        <v>54</v>
      </c>
      <c r="G1302" s="1" t="s">
        <v>39</v>
      </c>
      <c r="H1302" s="1">
        <v>1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f t="shared" si="20"/>
        <v>0</v>
      </c>
      <c r="O1302" s="1">
        <v>0</v>
      </c>
      <c r="P1302" s="1"/>
      <c r="Q1302" s="1">
        <v>67.8</v>
      </c>
    </row>
    <row r="1303" spans="1:17">
      <c r="A1303" s="1" t="s">
        <v>1343</v>
      </c>
      <c r="B1303" s="4">
        <v>45741</v>
      </c>
      <c r="C1303" s="1" t="s">
        <v>2</v>
      </c>
      <c r="D1303" s="1" t="s">
        <v>31</v>
      </c>
      <c r="E1303" s="1" t="s">
        <v>37</v>
      </c>
      <c r="F1303" s="1" t="s">
        <v>38</v>
      </c>
      <c r="G1303" s="1" t="s">
        <v>39</v>
      </c>
      <c r="H1303" s="1">
        <v>1</v>
      </c>
      <c r="I1303" s="1">
        <v>0</v>
      </c>
      <c r="J1303" s="1">
        <v>0</v>
      </c>
      <c r="K1303" s="1">
        <v>0</v>
      </c>
      <c r="L1303" s="1">
        <v>0</v>
      </c>
      <c r="M1303" s="1">
        <v>2</v>
      </c>
      <c r="N1303" s="1">
        <f t="shared" si="20"/>
        <v>1</v>
      </c>
      <c r="O1303" s="1">
        <v>0</v>
      </c>
      <c r="P1303" s="1"/>
      <c r="Q1303" s="1">
        <v>70</v>
      </c>
    </row>
    <row r="1304" spans="1:17">
      <c r="A1304" s="1" t="s">
        <v>1344</v>
      </c>
      <c r="B1304" s="4">
        <v>45715</v>
      </c>
      <c r="C1304" s="1" t="s">
        <v>2</v>
      </c>
      <c r="D1304" s="1" t="s">
        <v>31</v>
      </c>
      <c r="E1304" s="1" t="s">
        <v>37</v>
      </c>
      <c r="F1304" s="1" t="s">
        <v>54</v>
      </c>
      <c r="G1304" s="1" t="s">
        <v>34</v>
      </c>
      <c r="H1304" s="1">
        <v>1</v>
      </c>
      <c r="I1304" s="1">
        <v>1</v>
      </c>
      <c r="J1304" s="1">
        <v>1</v>
      </c>
      <c r="K1304" s="1">
        <v>0</v>
      </c>
      <c r="L1304" s="1">
        <v>0</v>
      </c>
      <c r="M1304" s="1">
        <v>0</v>
      </c>
      <c r="N1304" s="1">
        <f t="shared" si="20"/>
        <v>0</v>
      </c>
      <c r="O1304" s="1">
        <v>0</v>
      </c>
      <c r="P1304" s="1"/>
      <c r="Q1304" s="1">
        <v>51.1</v>
      </c>
    </row>
    <row r="1305" spans="1:17">
      <c r="A1305" s="1" t="s">
        <v>1345</v>
      </c>
      <c r="B1305" s="4">
        <v>45671</v>
      </c>
      <c r="C1305" s="1" t="s">
        <v>2</v>
      </c>
      <c r="D1305" s="1" t="s">
        <v>36</v>
      </c>
      <c r="E1305" s="1" t="s">
        <v>37</v>
      </c>
      <c r="F1305" s="1" t="s">
        <v>42</v>
      </c>
      <c r="G1305" s="1" t="s">
        <v>34</v>
      </c>
      <c r="H1305" s="1">
        <v>1</v>
      </c>
      <c r="I1305" s="1">
        <v>1</v>
      </c>
      <c r="J1305" s="1">
        <v>1</v>
      </c>
      <c r="K1305" s="1">
        <v>0</v>
      </c>
      <c r="L1305" s="1">
        <v>0</v>
      </c>
      <c r="M1305" s="1">
        <v>0</v>
      </c>
      <c r="N1305" s="1">
        <f t="shared" si="20"/>
        <v>0</v>
      </c>
      <c r="O1305" s="1">
        <v>0</v>
      </c>
      <c r="P1305" s="1"/>
      <c r="Q1305" s="1">
        <v>57</v>
      </c>
    </row>
    <row r="1306" spans="1:17">
      <c r="A1306" s="1" t="s">
        <v>1346</v>
      </c>
      <c r="B1306" s="4">
        <v>45758</v>
      </c>
      <c r="C1306" s="1" t="s">
        <v>2</v>
      </c>
      <c r="D1306" s="1" t="s">
        <v>41</v>
      </c>
      <c r="E1306" s="1" t="s">
        <v>37</v>
      </c>
      <c r="F1306" s="1" t="s">
        <v>54</v>
      </c>
      <c r="G1306" s="1" t="s">
        <v>39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1</v>
      </c>
      <c r="N1306" s="1">
        <f t="shared" si="20"/>
        <v>1</v>
      </c>
      <c r="O1306" s="1">
        <v>0</v>
      </c>
      <c r="P1306" s="1"/>
      <c r="Q1306" s="1">
        <v>47.1</v>
      </c>
    </row>
    <row r="1307" spans="1:17">
      <c r="A1307" s="1" t="s">
        <v>1347</v>
      </c>
      <c r="B1307" s="4">
        <v>45742</v>
      </c>
      <c r="C1307" s="1" t="s">
        <v>2</v>
      </c>
      <c r="D1307" s="1" t="s">
        <v>41</v>
      </c>
      <c r="E1307" s="1" t="s">
        <v>32</v>
      </c>
      <c r="F1307" s="1" t="s">
        <v>54</v>
      </c>
      <c r="G1307" s="1" t="s">
        <v>34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f t="shared" si="20"/>
        <v>0</v>
      </c>
      <c r="O1307" s="1">
        <v>0</v>
      </c>
      <c r="P1307" s="1"/>
      <c r="Q1307" s="1">
        <v>30.7</v>
      </c>
    </row>
    <row r="1308" spans="1:17">
      <c r="A1308" s="1" t="s">
        <v>1348</v>
      </c>
      <c r="B1308" s="4">
        <v>45700</v>
      </c>
      <c r="C1308" s="1" t="s">
        <v>2</v>
      </c>
      <c r="D1308" s="1" t="s">
        <v>36</v>
      </c>
      <c r="E1308" s="1" t="s">
        <v>32</v>
      </c>
      <c r="F1308" s="1" t="s">
        <v>54</v>
      </c>
      <c r="G1308" s="1" t="s">
        <v>39</v>
      </c>
      <c r="H1308" s="1">
        <v>1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f t="shared" si="20"/>
        <v>0</v>
      </c>
      <c r="O1308" s="1">
        <v>0</v>
      </c>
      <c r="P1308" s="1"/>
      <c r="Q1308" s="1">
        <v>57.3</v>
      </c>
    </row>
    <row r="1309" spans="1:17">
      <c r="A1309" s="1" t="s">
        <v>1349</v>
      </c>
      <c r="B1309" s="4">
        <v>45706</v>
      </c>
      <c r="C1309" s="1" t="s">
        <v>2</v>
      </c>
      <c r="D1309" s="1" t="s">
        <v>36</v>
      </c>
      <c r="E1309" s="1" t="s">
        <v>47</v>
      </c>
      <c r="F1309" s="1" t="s">
        <v>42</v>
      </c>
      <c r="G1309" s="1" t="s">
        <v>34</v>
      </c>
      <c r="H1309" s="1">
        <v>1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f t="shared" si="20"/>
        <v>0</v>
      </c>
      <c r="O1309" s="1">
        <v>0</v>
      </c>
      <c r="P1309" s="1"/>
      <c r="Q1309" s="1">
        <v>70</v>
      </c>
    </row>
    <row r="1310" spans="1:17">
      <c r="A1310" s="1" t="s">
        <v>1350</v>
      </c>
      <c r="B1310" s="4">
        <v>45802</v>
      </c>
      <c r="C1310" s="1" t="s">
        <v>2</v>
      </c>
      <c r="D1310" s="1" t="s">
        <v>41</v>
      </c>
      <c r="E1310" s="1" t="s">
        <v>32</v>
      </c>
      <c r="F1310" s="1" t="s">
        <v>54</v>
      </c>
      <c r="G1310" s="1" t="s">
        <v>39</v>
      </c>
      <c r="H1310" s="1">
        <v>1</v>
      </c>
      <c r="I1310" s="1">
        <v>1</v>
      </c>
      <c r="J1310" s="1">
        <v>1</v>
      </c>
      <c r="K1310" s="1">
        <v>0</v>
      </c>
      <c r="L1310" s="1">
        <v>0</v>
      </c>
      <c r="M1310" s="1">
        <v>0</v>
      </c>
      <c r="N1310" s="1">
        <f t="shared" si="20"/>
        <v>0</v>
      </c>
      <c r="O1310" s="1">
        <v>0</v>
      </c>
      <c r="P1310" s="1"/>
      <c r="Q1310" s="1">
        <v>59.7</v>
      </c>
    </row>
    <row r="1311" spans="1:17">
      <c r="A1311" s="1" t="s">
        <v>1351</v>
      </c>
      <c r="B1311" s="4">
        <v>45800</v>
      </c>
      <c r="C1311" s="1" t="s">
        <v>2</v>
      </c>
      <c r="D1311" s="1" t="s">
        <v>41</v>
      </c>
      <c r="E1311" s="1" t="s">
        <v>32</v>
      </c>
      <c r="F1311" s="1" t="s">
        <v>42</v>
      </c>
      <c r="G1311" s="1" t="s">
        <v>34</v>
      </c>
      <c r="H1311" s="1">
        <v>1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f t="shared" si="20"/>
        <v>0</v>
      </c>
      <c r="O1311" s="1">
        <v>0</v>
      </c>
      <c r="P1311" s="1"/>
      <c r="Q1311" s="1">
        <v>68.8</v>
      </c>
    </row>
    <row r="1312" spans="1:17">
      <c r="A1312" s="1" t="s">
        <v>1352</v>
      </c>
      <c r="B1312" s="4">
        <v>45673</v>
      </c>
      <c r="C1312" s="1" t="s">
        <v>2</v>
      </c>
      <c r="D1312" s="1" t="s">
        <v>31</v>
      </c>
      <c r="E1312" s="1" t="s">
        <v>32</v>
      </c>
      <c r="F1312" s="1" t="s">
        <v>38</v>
      </c>
      <c r="G1312" s="1" t="s">
        <v>39</v>
      </c>
      <c r="H1312" s="1">
        <v>1</v>
      </c>
      <c r="I1312" s="1">
        <v>1</v>
      </c>
      <c r="J1312" s="1">
        <v>1</v>
      </c>
      <c r="K1312" s="1">
        <v>1</v>
      </c>
      <c r="L1312" s="1">
        <v>428.37</v>
      </c>
      <c r="M1312" s="1">
        <v>0</v>
      </c>
      <c r="N1312" s="1">
        <f t="shared" si="20"/>
        <v>0</v>
      </c>
      <c r="O1312" s="1">
        <v>0</v>
      </c>
      <c r="P1312" s="1">
        <v>9</v>
      </c>
      <c r="Q1312" s="1">
        <v>88.3</v>
      </c>
    </row>
    <row r="1313" spans="1:17">
      <c r="A1313" s="1" t="s">
        <v>1353</v>
      </c>
      <c r="B1313" s="4">
        <v>45676</v>
      </c>
      <c r="C1313" s="1" t="s">
        <v>2</v>
      </c>
      <c r="D1313" s="1" t="s">
        <v>36</v>
      </c>
      <c r="E1313" s="1" t="s">
        <v>32</v>
      </c>
      <c r="F1313" s="1" t="s">
        <v>33</v>
      </c>
      <c r="G1313" s="1" t="s">
        <v>34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f t="shared" si="20"/>
        <v>0</v>
      </c>
      <c r="O1313" s="1">
        <v>0</v>
      </c>
      <c r="P1313" s="1"/>
      <c r="Q1313" s="1">
        <v>83.4</v>
      </c>
    </row>
    <row r="1314" spans="1:17">
      <c r="A1314" s="1" t="s">
        <v>1354</v>
      </c>
      <c r="B1314" s="4">
        <v>45795</v>
      </c>
      <c r="C1314" s="1" t="s">
        <v>2</v>
      </c>
      <c r="D1314" s="1" t="s">
        <v>45</v>
      </c>
      <c r="E1314" s="1" t="s">
        <v>37</v>
      </c>
      <c r="F1314" s="1" t="s">
        <v>52</v>
      </c>
      <c r="G1314" s="1" t="s">
        <v>39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1</v>
      </c>
      <c r="N1314" s="1">
        <f t="shared" si="20"/>
        <v>1</v>
      </c>
      <c r="O1314" s="1">
        <v>0</v>
      </c>
      <c r="P1314" s="1"/>
      <c r="Q1314" s="1">
        <v>81.599999999999994</v>
      </c>
    </row>
    <row r="1315" spans="1:17">
      <c r="A1315" s="1" t="s">
        <v>1355</v>
      </c>
      <c r="B1315" s="4">
        <v>45680</v>
      </c>
      <c r="C1315" s="1" t="s">
        <v>2</v>
      </c>
      <c r="D1315" s="1" t="s">
        <v>41</v>
      </c>
      <c r="E1315" s="1" t="s">
        <v>47</v>
      </c>
      <c r="F1315" s="1" t="s">
        <v>54</v>
      </c>
      <c r="G1315" s="1" t="s">
        <v>43</v>
      </c>
      <c r="H1315" s="1">
        <v>1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f t="shared" si="20"/>
        <v>0</v>
      </c>
      <c r="O1315" s="1">
        <v>0</v>
      </c>
      <c r="P1315" s="1"/>
      <c r="Q1315" s="1">
        <v>91.6</v>
      </c>
    </row>
    <row r="1316" spans="1:17">
      <c r="A1316" s="1" t="s">
        <v>1356</v>
      </c>
      <c r="B1316" s="4">
        <v>45665</v>
      </c>
      <c r="C1316" s="1" t="s">
        <v>2</v>
      </c>
      <c r="D1316" s="1" t="s">
        <v>41</v>
      </c>
      <c r="E1316" s="1" t="s">
        <v>47</v>
      </c>
      <c r="F1316" s="1"/>
      <c r="G1316" s="1" t="s">
        <v>43</v>
      </c>
      <c r="H1316" s="1">
        <v>1</v>
      </c>
      <c r="I1316" s="1">
        <v>1</v>
      </c>
      <c r="J1316" s="1">
        <v>1</v>
      </c>
      <c r="K1316" s="1">
        <v>0</v>
      </c>
      <c r="L1316" s="1">
        <v>0</v>
      </c>
      <c r="M1316" s="1">
        <v>1</v>
      </c>
      <c r="N1316" s="1">
        <f t="shared" si="20"/>
        <v>1</v>
      </c>
      <c r="O1316" s="1">
        <v>0</v>
      </c>
      <c r="P1316" s="1"/>
      <c r="Q1316" s="1">
        <v>61.5</v>
      </c>
    </row>
    <row r="1317" spans="1:17">
      <c r="A1317" s="1" t="s">
        <v>1357</v>
      </c>
      <c r="B1317" s="4">
        <v>45707</v>
      </c>
      <c r="C1317" s="1" t="s">
        <v>2</v>
      </c>
      <c r="D1317" s="1" t="s">
        <v>31</v>
      </c>
      <c r="E1317" s="1" t="s">
        <v>37</v>
      </c>
      <c r="F1317" s="1" t="s">
        <v>38</v>
      </c>
      <c r="G1317" s="1" t="s">
        <v>43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f t="shared" si="20"/>
        <v>0</v>
      </c>
      <c r="O1317" s="1">
        <v>0</v>
      </c>
      <c r="P1317" s="1"/>
      <c r="Q1317" s="1"/>
    </row>
    <row r="1318" spans="1:17">
      <c r="A1318" s="1" t="s">
        <v>1358</v>
      </c>
      <c r="B1318" s="4">
        <v>45698</v>
      </c>
      <c r="C1318" s="1" t="s">
        <v>2</v>
      </c>
      <c r="D1318" s="1" t="s">
        <v>45</v>
      </c>
      <c r="E1318" s="1" t="s">
        <v>37</v>
      </c>
      <c r="F1318" s="1" t="s">
        <v>38</v>
      </c>
      <c r="G1318" s="1" t="s">
        <v>39</v>
      </c>
      <c r="H1318" s="1">
        <v>1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f t="shared" si="20"/>
        <v>0</v>
      </c>
      <c r="O1318" s="1">
        <v>0</v>
      </c>
      <c r="P1318" s="1"/>
      <c r="Q1318" s="1">
        <v>32.6</v>
      </c>
    </row>
    <row r="1319" spans="1:17">
      <c r="A1319" s="1" t="s">
        <v>1359</v>
      </c>
      <c r="B1319" s="4">
        <v>45760</v>
      </c>
      <c r="C1319" s="1" t="s">
        <v>2</v>
      </c>
      <c r="D1319" s="1" t="s">
        <v>45</v>
      </c>
      <c r="E1319" s="1" t="s">
        <v>37</v>
      </c>
      <c r="F1319" s="1" t="s">
        <v>42</v>
      </c>
      <c r="G1319" s="1" t="s">
        <v>39</v>
      </c>
      <c r="H1319" s="1">
        <v>1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f t="shared" si="20"/>
        <v>0</v>
      </c>
      <c r="O1319" s="1">
        <v>0</v>
      </c>
      <c r="P1319" s="1"/>
      <c r="Q1319" s="1">
        <v>73.900000000000006</v>
      </c>
    </row>
    <row r="1320" spans="1:17">
      <c r="A1320" s="1" t="s">
        <v>1360</v>
      </c>
      <c r="B1320" s="4">
        <v>45797</v>
      </c>
      <c r="C1320" s="1" t="s">
        <v>2</v>
      </c>
      <c r="D1320" s="1" t="s">
        <v>41</v>
      </c>
      <c r="E1320" s="1" t="s">
        <v>37</v>
      </c>
      <c r="F1320" s="1" t="s">
        <v>38</v>
      </c>
      <c r="G1320" s="1" t="s">
        <v>39</v>
      </c>
      <c r="H1320" s="1">
        <v>1</v>
      </c>
      <c r="I1320" s="1">
        <v>1</v>
      </c>
      <c r="J1320" s="1">
        <v>1</v>
      </c>
      <c r="K1320" s="1">
        <v>1</v>
      </c>
      <c r="L1320" s="1">
        <v>444.06</v>
      </c>
      <c r="M1320" s="1">
        <v>0</v>
      </c>
      <c r="N1320" s="1">
        <f t="shared" si="20"/>
        <v>0</v>
      </c>
      <c r="O1320" s="1">
        <v>0</v>
      </c>
      <c r="P1320" s="1">
        <v>9</v>
      </c>
      <c r="Q1320" s="1">
        <v>99.9</v>
      </c>
    </row>
    <row r="1321" spans="1:17">
      <c r="A1321" s="1" t="s">
        <v>1361</v>
      </c>
      <c r="B1321" s="4">
        <v>45790</v>
      </c>
      <c r="C1321" s="1" t="s">
        <v>2</v>
      </c>
      <c r="D1321" s="1" t="s">
        <v>45</v>
      </c>
      <c r="E1321" s="1" t="s">
        <v>37</v>
      </c>
      <c r="F1321" s="1" t="s">
        <v>42</v>
      </c>
      <c r="G1321" s="1" t="s">
        <v>34</v>
      </c>
      <c r="H1321" s="1">
        <v>1</v>
      </c>
      <c r="I1321" s="1">
        <v>1</v>
      </c>
      <c r="J1321" s="1">
        <v>0</v>
      </c>
      <c r="K1321" s="1">
        <v>0</v>
      </c>
      <c r="L1321" s="1">
        <v>0</v>
      </c>
      <c r="M1321" s="1">
        <v>1</v>
      </c>
      <c r="N1321" s="1">
        <f t="shared" si="20"/>
        <v>1</v>
      </c>
      <c r="O1321" s="1">
        <v>0</v>
      </c>
      <c r="P1321" s="1"/>
      <c r="Q1321" s="1">
        <v>62.4</v>
      </c>
    </row>
    <row r="1322" spans="1:17">
      <c r="A1322" s="1" t="s">
        <v>1362</v>
      </c>
      <c r="B1322" s="4">
        <v>45805</v>
      </c>
      <c r="C1322" s="1" t="s">
        <v>2</v>
      </c>
      <c r="D1322" s="1" t="s">
        <v>45</v>
      </c>
      <c r="E1322" s="1" t="s">
        <v>32</v>
      </c>
      <c r="F1322" s="1" t="s">
        <v>42</v>
      </c>
      <c r="G1322" s="1" t="s">
        <v>34</v>
      </c>
      <c r="H1322" s="1">
        <v>1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f t="shared" si="20"/>
        <v>0</v>
      </c>
      <c r="O1322" s="1">
        <v>0</v>
      </c>
      <c r="P1322" s="1"/>
      <c r="Q1322" s="1">
        <v>46.1</v>
      </c>
    </row>
    <row r="1323" spans="1:17">
      <c r="A1323" s="1" t="s">
        <v>1363</v>
      </c>
      <c r="B1323" s="4">
        <v>45735</v>
      </c>
      <c r="C1323" s="1" t="s">
        <v>2</v>
      </c>
      <c r="D1323" s="1" t="s">
        <v>36</v>
      </c>
      <c r="E1323" s="1" t="s">
        <v>37</v>
      </c>
      <c r="F1323" s="1" t="s">
        <v>38</v>
      </c>
      <c r="G1323" s="1" t="s">
        <v>39</v>
      </c>
      <c r="H1323" s="1">
        <v>1</v>
      </c>
      <c r="I1323" s="1">
        <v>1</v>
      </c>
      <c r="J1323" s="1">
        <v>1</v>
      </c>
      <c r="K1323" s="1">
        <v>1</v>
      </c>
      <c r="L1323" s="1">
        <v>2660.21</v>
      </c>
      <c r="M1323" s="1">
        <v>0</v>
      </c>
      <c r="N1323" s="1">
        <f t="shared" si="20"/>
        <v>0</v>
      </c>
      <c r="O1323" s="1">
        <v>0</v>
      </c>
      <c r="P1323" s="1">
        <v>3</v>
      </c>
      <c r="Q1323" s="1">
        <v>73.900000000000006</v>
      </c>
    </row>
    <row r="1324" spans="1:17">
      <c r="A1324" s="1" t="s">
        <v>1364</v>
      </c>
      <c r="B1324" s="4">
        <v>45691</v>
      </c>
      <c r="C1324" s="1" t="s">
        <v>2</v>
      </c>
      <c r="D1324" s="1" t="s">
        <v>31</v>
      </c>
      <c r="E1324" s="1" t="s">
        <v>37</v>
      </c>
      <c r="F1324" s="1" t="s">
        <v>33</v>
      </c>
      <c r="G1324" s="1" t="s">
        <v>43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f t="shared" si="20"/>
        <v>0</v>
      </c>
      <c r="O1324" s="1">
        <v>0</v>
      </c>
      <c r="P1324" s="1"/>
      <c r="Q1324" s="1">
        <v>90</v>
      </c>
    </row>
    <row r="1325" spans="1:17">
      <c r="A1325" s="1" t="s">
        <v>1365</v>
      </c>
      <c r="B1325" s="4">
        <v>45714</v>
      </c>
      <c r="C1325" s="1" t="s">
        <v>2</v>
      </c>
      <c r="D1325" s="1" t="s">
        <v>45</v>
      </c>
      <c r="E1325" s="1" t="s">
        <v>37</v>
      </c>
      <c r="F1325" s="1" t="s">
        <v>33</v>
      </c>
      <c r="G1325" s="1" t="s">
        <v>34</v>
      </c>
      <c r="H1325" s="1">
        <v>1</v>
      </c>
      <c r="I1325" s="1">
        <v>0</v>
      </c>
      <c r="J1325" s="1">
        <v>0</v>
      </c>
      <c r="K1325" s="1">
        <v>0</v>
      </c>
      <c r="L1325" s="1">
        <v>0</v>
      </c>
      <c r="M1325" s="1">
        <v>1</v>
      </c>
      <c r="N1325" s="1">
        <f t="shared" si="20"/>
        <v>1</v>
      </c>
      <c r="O1325" s="1">
        <v>0</v>
      </c>
      <c r="P1325" s="1"/>
      <c r="Q1325" s="1">
        <v>68.8</v>
      </c>
    </row>
    <row r="1326" spans="1:17">
      <c r="A1326" s="1" t="s">
        <v>1366</v>
      </c>
      <c r="B1326" s="4">
        <v>45683</v>
      </c>
      <c r="C1326" s="1" t="s">
        <v>2</v>
      </c>
      <c r="D1326" s="1" t="s">
        <v>36</v>
      </c>
      <c r="E1326" s="1" t="s">
        <v>37</v>
      </c>
      <c r="F1326" s="1" t="s">
        <v>42</v>
      </c>
      <c r="G1326" s="1" t="s">
        <v>39</v>
      </c>
      <c r="H1326" s="1">
        <v>1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f t="shared" si="20"/>
        <v>0</v>
      </c>
      <c r="O1326" s="1">
        <v>0</v>
      </c>
      <c r="P1326" s="1"/>
      <c r="Q1326" s="1">
        <v>66.599999999999994</v>
      </c>
    </row>
    <row r="1327" spans="1:17">
      <c r="A1327" s="1" t="s">
        <v>1367</v>
      </c>
      <c r="B1327" s="4">
        <v>45790</v>
      </c>
      <c r="C1327" s="1" t="s">
        <v>2</v>
      </c>
      <c r="D1327" s="1" t="s">
        <v>31</v>
      </c>
      <c r="E1327" s="1" t="s">
        <v>37</v>
      </c>
      <c r="F1327" s="1" t="s">
        <v>38</v>
      </c>
      <c r="G1327" s="1" t="s">
        <v>43</v>
      </c>
      <c r="H1327" s="1">
        <v>1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f t="shared" si="20"/>
        <v>0</v>
      </c>
      <c r="O1327" s="1">
        <v>0</v>
      </c>
      <c r="P1327" s="1"/>
      <c r="Q1327" s="1">
        <v>49.7</v>
      </c>
    </row>
    <row r="1328" spans="1:17">
      <c r="A1328" s="1" t="s">
        <v>1368</v>
      </c>
      <c r="B1328" s="4">
        <v>45690</v>
      </c>
      <c r="C1328" s="1" t="s">
        <v>2</v>
      </c>
      <c r="D1328" s="1" t="s">
        <v>45</v>
      </c>
      <c r="E1328" s="1" t="s">
        <v>37</v>
      </c>
      <c r="F1328" s="1" t="s">
        <v>42</v>
      </c>
      <c r="G1328" s="1" t="s">
        <v>34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f t="shared" si="20"/>
        <v>0</v>
      </c>
      <c r="O1328" s="1">
        <v>0</v>
      </c>
      <c r="P1328" s="1"/>
      <c r="Q1328" s="1">
        <v>67.900000000000006</v>
      </c>
    </row>
    <row r="1329" spans="1:17">
      <c r="A1329" s="1" t="s">
        <v>1369</v>
      </c>
      <c r="B1329" s="4">
        <v>45777</v>
      </c>
      <c r="C1329" s="1" t="s">
        <v>2</v>
      </c>
      <c r="D1329" s="1" t="s">
        <v>36</v>
      </c>
      <c r="E1329" s="1" t="s">
        <v>37</v>
      </c>
      <c r="F1329" s="1"/>
      <c r="G1329" s="1" t="s">
        <v>34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f t="shared" si="20"/>
        <v>0</v>
      </c>
      <c r="O1329" s="1">
        <v>0</v>
      </c>
      <c r="P1329" s="1"/>
      <c r="Q1329" s="1">
        <v>66.900000000000006</v>
      </c>
    </row>
    <row r="1330" spans="1:17">
      <c r="A1330" s="1" t="s">
        <v>1370</v>
      </c>
      <c r="B1330" s="4">
        <v>45745</v>
      </c>
      <c r="C1330" s="1" t="s">
        <v>2</v>
      </c>
      <c r="D1330" s="1" t="s">
        <v>41</v>
      </c>
      <c r="E1330" s="1" t="s">
        <v>37</v>
      </c>
      <c r="F1330" s="1" t="s">
        <v>38</v>
      </c>
      <c r="G1330" s="1" t="s">
        <v>39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f t="shared" si="20"/>
        <v>0</v>
      </c>
      <c r="O1330" s="1">
        <v>0</v>
      </c>
      <c r="P1330" s="1"/>
      <c r="Q1330" s="1">
        <v>46.1</v>
      </c>
    </row>
    <row r="1331" spans="1:17">
      <c r="A1331" s="1" t="s">
        <v>1371</v>
      </c>
      <c r="B1331" s="4">
        <v>45756</v>
      </c>
      <c r="C1331" s="1" t="s">
        <v>2</v>
      </c>
      <c r="D1331" s="1" t="s">
        <v>36</v>
      </c>
      <c r="E1331" s="1" t="s">
        <v>32</v>
      </c>
      <c r="F1331" s="1" t="s">
        <v>52</v>
      </c>
      <c r="G1331" s="1" t="s">
        <v>43</v>
      </c>
      <c r="H1331" s="1">
        <v>1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f t="shared" si="20"/>
        <v>0</v>
      </c>
      <c r="O1331" s="1">
        <v>0</v>
      </c>
      <c r="P1331" s="1"/>
      <c r="Q1331" s="1">
        <v>85.6</v>
      </c>
    </row>
    <row r="1332" spans="1:17">
      <c r="A1332" s="1" t="s">
        <v>1372</v>
      </c>
      <c r="B1332" s="4">
        <v>45679</v>
      </c>
      <c r="C1332" s="1" t="s">
        <v>2</v>
      </c>
      <c r="D1332" s="1" t="s">
        <v>45</v>
      </c>
      <c r="E1332" s="1" t="s">
        <v>47</v>
      </c>
      <c r="F1332" s="1" t="s">
        <v>38</v>
      </c>
      <c r="G1332" s="1" t="s">
        <v>39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f t="shared" si="20"/>
        <v>0</v>
      </c>
      <c r="O1332" s="1">
        <v>0</v>
      </c>
      <c r="P1332" s="1"/>
      <c r="Q1332" s="1">
        <v>39.6</v>
      </c>
    </row>
    <row r="1333" spans="1:17">
      <c r="A1333" s="1" t="s">
        <v>1373</v>
      </c>
      <c r="B1333" s="4">
        <v>45684</v>
      </c>
      <c r="C1333" s="1" t="s">
        <v>2</v>
      </c>
      <c r="D1333" s="1" t="s">
        <v>45</v>
      </c>
      <c r="E1333" s="1" t="s">
        <v>37</v>
      </c>
      <c r="F1333" s="1" t="s">
        <v>38</v>
      </c>
      <c r="G1333" s="1" t="s">
        <v>34</v>
      </c>
      <c r="H1333" s="1">
        <v>1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f t="shared" si="20"/>
        <v>0</v>
      </c>
      <c r="O1333" s="1">
        <v>0</v>
      </c>
      <c r="P1333" s="1"/>
      <c r="Q1333" s="1">
        <v>52.5</v>
      </c>
    </row>
    <row r="1334" spans="1:17">
      <c r="A1334" s="1" t="s">
        <v>1374</v>
      </c>
      <c r="B1334" s="4">
        <v>45679</v>
      </c>
      <c r="C1334" s="1" t="s">
        <v>2</v>
      </c>
      <c r="D1334" s="1" t="s">
        <v>41</v>
      </c>
      <c r="E1334" s="1" t="s">
        <v>37</v>
      </c>
      <c r="F1334" s="1" t="s">
        <v>54</v>
      </c>
      <c r="G1334" s="1" t="s">
        <v>43</v>
      </c>
      <c r="H1334" s="1">
        <v>1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f t="shared" si="20"/>
        <v>0</v>
      </c>
      <c r="O1334" s="1">
        <v>0</v>
      </c>
      <c r="P1334" s="1"/>
      <c r="Q1334" s="1">
        <v>73.5</v>
      </c>
    </row>
    <row r="1335" spans="1:17">
      <c r="A1335" s="1" t="s">
        <v>1375</v>
      </c>
      <c r="B1335" s="4">
        <v>45663</v>
      </c>
      <c r="C1335" s="1" t="s">
        <v>2</v>
      </c>
      <c r="D1335" s="1" t="s">
        <v>36</v>
      </c>
      <c r="E1335" s="1" t="s">
        <v>32</v>
      </c>
      <c r="F1335" s="1" t="s">
        <v>42</v>
      </c>
      <c r="G1335" s="1" t="s">
        <v>39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f t="shared" si="20"/>
        <v>0</v>
      </c>
      <c r="O1335" s="1">
        <v>0</v>
      </c>
      <c r="P1335" s="1"/>
      <c r="Q1335" s="1">
        <v>62.5</v>
      </c>
    </row>
    <row r="1336" spans="1:17">
      <c r="A1336" s="1" t="s">
        <v>1376</v>
      </c>
      <c r="B1336" s="4">
        <v>45763</v>
      </c>
      <c r="C1336" s="1" t="s">
        <v>2</v>
      </c>
      <c r="D1336" s="1" t="s">
        <v>45</v>
      </c>
      <c r="E1336" s="1"/>
      <c r="F1336" s="1" t="s">
        <v>38</v>
      </c>
      <c r="G1336" s="1" t="s">
        <v>39</v>
      </c>
      <c r="H1336" s="1">
        <v>1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f t="shared" si="20"/>
        <v>0</v>
      </c>
      <c r="O1336" s="1">
        <v>0</v>
      </c>
      <c r="P1336" s="1"/>
      <c r="Q1336" s="1">
        <v>76.900000000000006</v>
      </c>
    </row>
    <row r="1337" spans="1:17">
      <c r="A1337" s="1" t="s">
        <v>1377</v>
      </c>
      <c r="B1337" s="4">
        <v>45761</v>
      </c>
      <c r="C1337" s="1" t="s">
        <v>2</v>
      </c>
      <c r="D1337" s="1" t="s">
        <v>45</v>
      </c>
      <c r="E1337" s="1" t="s">
        <v>37</v>
      </c>
      <c r="F1337" s="1" t="s">
        <v>38</v>
      </c>
      <c r="G1337" s="1" t="s">
        <v>39</v>
      </c>
      <c r="H1337" s="1">
        <v>1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f t="shared" si="20"/>
        <v>0</v>
      </c>
      <c r="O1337" s="1">
        <v>0</v>
      </c>
      <c r="P1337" s="1"/>
      <c r="Q1337" s="1">
        <v>51.4</v>
      </c>
    </row>
    <row r="1338" spans="1:17">
      <c r="A1338" s="1" t="s">
        <v>1378</v>
      </c>
      <c r="B1338" s="4">
        <v>45710</v>
      </c>
      <c r="C1338" s="1" t="s">
        <v>2</v>
      </c>
      <c r="D1338" s="1" t="s">
        <v>36</v>
      </c>
      <c r="E1338" s="1" t="s">
        <v>37</v>
      </c>
      <c r="F1338" s="1" t="s">
        <v>42</v>
      </c>
      <c r="G1338" s="1" t="s">
        <v>34</v>
      </c>
      <c r="H1338" s="1">
        <v>1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f t="shared" si="20"/>
        <v>0</v>
      </c>
      <c r="O1338" s="1">
        <v>0</v>
      </c>
      <c r="P1338" s="1"/>
      <c r="Q1338" s="1">
        <v>59.3</v>
      </c>
    </row>
    <row r="1339" spans="1:17">
      <c r="A1339" s="1" t="s">
        <v>1379</v>
      </c>
      <c r="B1339" s="4">
        <v>45725</v>
      </c>
      <c r="C1339" s="1" t="s">
        <v>2</v>
      </c>
      <c r="D1339" s="1" t="s">
        <v>31</v>
      </c>
      <c r="E1339" s="1" t="s">
        <v>37</v>
      </c>
      <c r="F1339" s="1" t="s">
        <v>38</v>
      </c>
      <c r="G1339" s="1" t="s">
        <v>34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f t="shared" si="20"/>
        <v>0</v>
      </c>
      <c r="O1339" s="1">
        <v>0</v>
      </c>
      <c r="P1339" s="1"/>
      <c r="Q1339" s="1">
        <v>74.900000000000006</v>
      </c>
    </row>
    <row r="1340" spans="1:17">
      <c r="A1340" s="1" t="s">
        <v>1380</v>
      </c>
      <c r="B1340" s="4">
        <v>45767</v>
      </c>
      <c r="C1340" s="1" t="s">
        <v>2</v>
      </c>
      <c r="D1340" s="1" t="s">
        <v>36</v>
      </c>
      <c r="E1340" s="1" t="s">
        <v>32</v>
      </c>
      <c r="F1340" s="1" t="s">
        <v>38</v>
      </c>
      <c r="G1340" s="1" t="s">
        <v>39</v>
      </c>
      <c r="H1340" s="1">
        <v>1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f t="shared" si="20"/>
        <v>0</v>
      </c>
      <c r="O1340" s="1">
        <v>0</v>
      </c>
      <c r="P1340" s="1"/>
      <c r="Q1340" s="1">
        <v>67</v>
      </c>
    </row>
    <row r="1341" spans="1:17">
      <c r="A1341" s="1" t="s">
        <v>1381</v>
      </c>
      <c r="B1341" s="4">
        <v>45726</v>
      </c>
      <c r="C1341" s="1" t="s">
        <v>2</v>
      </c>
      <c r="D1341" s="1" t="s">
        <v>45</v>
      </c>
      <c r="E1341" s="1" t="s">
        <v>37</v>
      </c>
      <c r="F1341" s="1" t="s">
        <v>33</v>
      </c>
      <c r="G1341" s="1" t="s">
        <v>39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f t="shared" si="20"/>
        <v>0</v>
      </c>
      <c r="O1341" s="1">
        <v>0</v>
      </c>
      <c r="P1341" s="1"/>
      <c r="Q1341" s="1">
        <v>63.6</v>
      </c>
    </row>
    <row r="1342" spans="1:17">
      <c r="A1342" s="1" t="s">
        <v>1382</v>
      </c>
      <c r="B1342" s="4">
        <v>45709</v>
      </c>
      <c r="C1342" s="1" t="s">
        <v>2</v>
      </c>
      <c r="D1342" s="1" t="s">
        <v>45</v>
      </c>
      <c r="E1342" s="1" t="s">
        <v>37</v>
      </c>
      <c r="F1342" s="1" t="s">
        <v>33</v>
      </c>
      <c r="G1342" s="1" t="s">
        <v>39</v>
      </c>
      <c r="H1342" s="1">
        <v>1</v>
      </c>
      <c r="I1342" s="1">
        <v>1</v>
      </c>
      <c r="J1342" s="1">
        <v>0</v>
      </c>
      <c r="K1342" s="1">
        <v>0</v>
      </c>
      <c r="L1342" s="1">
        <v>0</v>
      </c>
      <c r="M1342" s="1">
        <v>1</v>
      </c>
      <c r="N1342" s="1">
        <f t="shared" si="20"/>
        <v>1</v>
      </c>
      <c r="O1342" s="1">
        <v>0</v>
      </c>
      <c r="P1342" s="1"/>
      <c r="Q1342" s="1">
        <v>58.4</v>
      </c>
    </row>
    <row r="1343" spans="1:17">
      <c r="A1343" s="1" t="s">
        <v>1383</v>
      </c>
      <c r="B1343" s="4">
        <v>45663</v>
      </c>
      <c r="C1343" s="1" t="s">
        <v>2</v>
      </c>
      <c r="D1343" s="1" t="s">
        <v>31</v>
      </c>
      <c r="E1343" s="1" t="s">
        <v>32</v>
      </c>
      <c r="F1343" s="1" t="s">
        <v>54</v>
      </c>
      <c r="G1343" s="1" t="s">
        <v>39</v>
      </c>
      <c r="H1343" s="1">
        <v>1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f t="shared" si="20"/>
        <v>0</v>
      </c>
      <c r="O1343" s="1">
        <v>0</v>
      </c>
      <c r="P1343" s="1"/>
      <c r="Q1343" s="1">
        <v>36.799999999999997</v>
      </c>
    </row>
    <row r="1344" spans="1:17">
      <c r="A1344" s="1" t="s">
        <v>1384</v>
      </c>
      <c r="B1344" s="4">
        <v>45764</v>
      </c>
      <c r="C1344" s="1" t="s">
        <v>2</v>
      </c>
      <c r="D1344" s="1" t="s">
        <v>45</v>
      </c>
      <c r="E1344" s="1" t="s">
        <v>37</v>
      </c>
      <c r="F1344" s="1" t="s">
        <v>38</v>
      </c>
      <c r="G1344" s="1" t="s">
        <v>43</v>
      </c>
      <c r="H1344" s="1">
        <v>1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f t="shared" si="20"/>
        <v>0</v>
      </c>
      <c r="O1344" s="1">
        <v>0</v>
      </c>
      <c r="P1344" s="1"/>
      <c r="Q1344" s="1">
        <v>71.599999999999994</v>
      </c>
    </row>
    <row r="1345" spans="1:17">
      <c r="A1345" s="1" t="s">
        <v>1385</v>
      </c>
      <c r="B1345" s="4">
        <v>45800</v>
      </c>
      <c r="C1345" s="1" t="s">
        <v>2</v>
      </c>
      <c r="D1345" s="1" t="s">
        <v>45</v>
      </c>
      <c r="E1345" s="1" t="s">
        <v>37</v>
      </c>
      <c r="F1345" s="1" t="s">
        <v>33</v>
      </c>
      <c r="G1345" s="1" t="s">
        <v>34</v>
      </c>
      <c r="H1345" s="1">
        <v>1</v>
      </c>
      <c r="I1345" s="1">
        <v>1</v>
      </c>
      <c r="J1345" s="1">
        <v>0</v>
      </c>
      <c r="K1345" s="1">
        <v>0</v>
      </c>
      <c r="L1345" s="1">
        <v>0</v>
      </c>
      <c r="M1345" s="1">
        <v>1</v>
      </c>
      <c r="N1345" s="1">
        <f t="shared" si="20"/>
        <v>1</v>
      </c>
      <c r="O1345" s="1">
        <v>0</v>
      </c>
      <c r="P1345" s="1"/>
      <c r="Q1345" s="1">
        <v>79.7</v>
      </c>
    </row>
    <row r="1346" spans="1:17">
      <c r="A1346" s="1" t="s">
        <v>1386</v>
      </c>
      <c r="B1346" s="4">
        <v>45730</v>
      </c>
      <c r="C1346" s="1" t="s">
        <v>2</v>
      </c>
      <c r="D1346" s="1" t="s">
        <v>36</v>
      </c>
      <c r="E1346" s="1" t="s">
        <v>32</v>
      </c>
      <c r="F1346" s="1" t="s">
        <v>38</v>
      </c>
      <c r="G1346" s="1" t="s">
        <v>34</v>
      </c>
      <c r="H1346" s="1">
        <v>1</v>
      </c>
      <c r="I1346" s="1">
        <v>0</v>
      </c>
      <c r="J1346" s="1">
        <v>0</v>
      </c>
      <c r="K1346" s="1">
        <v>0</v>
      </c>
      <c r="L1346" s="1">
        <v>0</v>
      </c>
      <c r="M1346" s="1">
        <v>1</v>
      </c>
      <c r="N1346" s="1">
        <f t="shared" si="20"/>
        <v>1</v>
      </c>
      <c r="O1346" s="1">
        <v>0</v>
      </c>
      <c r="P1346" s="1"/>
      <c r="Q1346" s="1">
        <v>56.5</v>
      </c>
    </row>
    <row r="1347" spans="1:17">
      <c r="A1347" s="1" t="s">
        <v>1387</v>
      </c>
      <c r="B1347" s="4">
        <v>45768</v>
      </c>
      <c r="C1347" s="1" t="s">
        <v>2</v>
      </c>
      <c r="D1347" s="1" t="s">
        <v>31</v>
      </c>
      <c r="E1347" s="1" t="s">
        <v>37</v>
      </c>
      <c r="F1347" s="1" t="s">
        <v>54</v>
      </c>
      <c r="G1347" s="1" t="s">
        <v>43</v>
      </c>
      <c r="H1347" s="1">
        <v>1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f t="shared" ref="N1347:N1409" si="21">IF(M1347&gt;0,1,0)</f>
        <v>0</v>
      </c>
      <c r="O1347" s="1">
        <v>0</v>
      </c>
      <c r="P1347" s="1"/>
      <c r="Q1347" s="1">
        <v>44.7</v>
      </c>
    </row>
    <row r="1348" spans="1:17">
      <c r="A1348" s="1" t="s">
        <v>1388</v>
      </c>
      <c r="B1348" s="4">
        <v>45660</v>
      </c>
      <c r="C1348" s="1" t="s">
        <v>2</v>
      </c>
      <c r="D1348" s="1" t="s">
        <v>45</v>
      </c>
      <c r="E1348" s="1" t="s">
        <v>37</v>
      </c>
      <c r="F1348" s="1" t="s">
        <v>54</v>
      </c>
      <c r="G1348" s="1" t="s">
        <v>39</v>
      </c>
      <c r="H1348" s="1">
        <v>1</v>
      </c>
      <c r="I1348" s="1">
        <v>1</v>
      </c>
      <c r="J1348" s="1">
        <v>1</v>
      </c>
      <c r="K1348" s="1">
        <v>0</v>
      </c>
      <c r="L1348" s="1">
        <v>0</v>
      </c>
      <c r="M1348" s="1">
        <v>1</v>
      </c>
      <c r="N1348" s="1">
        <f t="shared" si="21"/>
        <v>1</v>
      </c>
      <c r="O1348" s="1">
        <v>0</v>
      </c>
      <c r="P1348" s="1"/>
      <c r="Q1348" s="1">
        <v>66</v>
      </c>
    </row>
    <row r="1349" spans="1:17">
      <c r="A1349" s="1" t="s">
        <v>1389</v>
      </c>
      <c r="B1349" s="4">
        <v>45786</v>
      </c>
      <c r="C1349" s="1" t="s">
        <v>2</v>
      </c>
      <c r="D1349" s="1" t="s">
        <v>31</v>
      </c>
      <c r="E1349" s="1" t="s">
        <v>32</v>
      </c>
      <c r="F1349" s="1" t="s">
        <v>38</v>
      </c>
      <c r="G1349" s="1" t="s">
        <v>34</v>
      </c>
      <c r="H1349" s="1">
        <v>1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f t="shared" si="21"/>
        <v>0</v>
      </c>
      <c r="O1349" s="1">
        <v>0</v>
      </c>
      <c r="P1349" s="1"/>
      <c r="Q1349" s="1">
        <v>73</v>
      </c>
    </row>
    <row r="1350" spans="1:17">
      <c r="A1350" s="1" t="s">
        <v>1390</v>
      </c>
      <c r="B1350" s="4">
        <v>45799</v>
      </c>
      <c r="C1350" s="1" t="s">
        <v>2</v>
      </c>
      <c r="D1350" s="1" t="s">
        <v>45</v>
      </c>
      <c r="E1350" s="1" t="s">
        <v>37</v>
      </c>
      <c r="F1350" s="1" t="s">
        <v>38</v>
      </c>
      <c r="G1350" s="1" t="s">
        <v>34</v>
      </c>
      <c r="H1350" s="1">
        <v>1</v>
      </c>
      <c r="I1350" s="1">
        <v>1</v>
      </c>
      <c r="J1350" s="1">
        <v>1</v>
      </c>
      <c r="K1350" s="1">
        <v>0</v>
      </c>
      <c r="L1350" s="1">
        <v>0</v>
      </c>
      <c r="M1350" s="1">
        <v>1</v>
      </c>
      <c r="N1350" s="1">
        <f t="shared" si="21"/>
        <v>1</v>
      </c>
      <c r="O1350" s="1">
        <v>0</v>
      </c>
      <c r="P1350" s="1"/>
      <c r="Q1350" s="1">
        <v>72.5</v>
      </c>
    </row>
    <row r="1351" spans="1:17">
      <c r="A1351" s="1" t="s">
        <v>1391</v>
      </c>
      <c r="B1351" s="4">
        <v>45784</v>
      </c>
      <c r="C1351" s="1" t="s">
        <v>2</v>
      </c>
      <c r="D1351" s="1" t="s">
        <v>45</v>
      </c>
      <c r="E1351" s="1" t="s">
        <v>32</v>
      </c>
      <c r="F1351" s="1" t="s">
        <v>42</v>
      </c>
      <c r="G1351" s="1" t="s">
        <v>39</v>
      </c>
      <c r="H1351" s="1">
        <v>1</v>
      </c>
      <c r="I1351" s="1">
        <v>1</v>
      </c>
      <c r="J1351" s="1">
        <v>1</v>
      </c>
      <c r="K1351" s="1">
        <v>1</v>
      </c>
      <c r="L1351" s="1">
        <v>323.60000000000002</v>
      </c>
      <c r="M1351" s="1">
        <v>0</v>
      </c>
      <c r="N1351" s="1">
        <f t="shared" si="21"/>
        <v>0</v>
      </c>
      <c r="O1351" s="1">
        <v>0</v>
      </c>
      <c r="P1351" s="1">
        <v>6</v>
      </c>
      <c r="Q1351" s="1">
        <v>100</v>
      </c>
    </row>
    <row r="1352" spans="1:17">
      <c r="A1352" s="1" t="s">
        <v>1392</v>
      </c>
      <c r="B1352" s="4">
        <v>45696</v>
      </c>
      <c r="C1352" s="1" t="s">
        <v>2</v>
      </c>
      <c r="D1352" s="1" t="s">
        <v>41</v>
      </c>
      <c r="E1352" s="1" t="s">
        <v>37</v>
      </c>
      <c r="F1352" s="1" t="s">
        <v>54</v>
      </c>
      <c r="G1352" s="1" t="s">
        <v>39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1</v>
      </c>
      <c r="N1352" s="1">
        <f t="shared" si="21"/>
        <v>1</v>
      </c>
      <c r="O1352" s="1">
        <v>0</v>
      </c>
      <c r="P1352" s="1"/>
      <c r="Q1352" s="1">
        <v>90.5</v>
      </c>
    </row>
    <row r="1353" spans="1:17">
      <c r="A1353" s="1" t="s">
        <v>1393</v>
      </c>
      <c r="B1353" s="4">
        <v>45750</v>
      </c>
      <c r="C1353" s="1" t="s">
        <v>2</v>
      </c>
      <c r="D1353" s="1" t="s">
        <v>31</v>
      </c>
      <c r="E1353" s="1" t="s">
        <v>47</v>
      </c>
      <c r="F1353" s="1" t="s">
        <v>54</v>
      </c>
      <c r="G1353" s="1" t="s">
        <v>34</v>
      </c>
      <c r="H1353" s="1">
        <v>1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f t="shared" si="21"/>
        <v>0</v>
      </c>
      <c r="O1353" s="1">
        <v>0</v>
      </c>
      <c r="P1353" s="1"/>
      <c r="Q1353" s="1">
        <v>70.2</v>
      </c>
    </row>
    <row r="1354" spans="1:17">
      <c r="A1354" s="1" t="s">
        <v>1394</v>
      </c>
      <c r="B1354" s="4">
        <v>45764</v>
      </c>
      <c r="C1354" s="1" t="s">
        <v>2</v>
      </c>
      <c r="D1354" s="1" t="s">
        <v>41</v>
      </c>
      <c r="E1354" s="1" t="s">
        <v>32</v>
      </c>
      <c r="F1354" s="1" t="s">
        <v>42</v>
      </c>
      <c r="G1354" s="1" t="s">
        <v>39</v>
      </c>
      <c r="H1354" s="1">
        <v>1</v>
      </c>
      <c r="I1354" s="1">
        <v>0</v>
      </c>
      <c r="J1354" s="1">
        <v>0</v>
      </c>
      <c r="K1354" s="1">
        <v>0</v>
      </c>
      <c r="L1354" s="1">
        <v>0</v>
      </c>
      <c r="M1354" s="1">
        <v>1</v>
      </c>
      <c r="N1354" s="1">
        <f t="shared" si="21"/>
        <v>1</v>
      </c>
      <c r="O1354" s="1">
        <v>0</v>
      </c>
      <c r="P1354" s="1"/>
      <c r="Q1354" s="1">
        <v>67.099999999999994</v>
      </c>
    </row>
    <row r="1355" spans="1:17">
      <c r="A1355" s="1" t="s">
        <v>1395</v>
      </c>
      <c r="B1355" s="4">
        <v>45781</v>
      </c>
      <c r="C1355" s="1" t="s">
        <v>2</v>
      </c>
      <c r="D1355" s="1" t="s">
        <v>41</v>
      </c>
      <c r="E1355" s="1" t="s">
        <v>37</v>
      </c>
      <c r="F1355" s="1" t="s">
        <v>38</v>
      </c>
      <c r="G1355" s="1" t="s">
        <v>39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f t="shared" si="21"/>
        <v>0</v>
      </c>
      <c r="O1355" s="1">
        <v>0</v>
      </c>
      <c r="P1355" s="1"/>
      <c r="Q1355" s="1">
        <v>54.5</v>
      </c>
    </row>
    <row r="1356" spans="1:17">
      <c r="A1356" s="1" t="s">
        <v>1396</v>
      </c>
      <c r="B1356" s="4">
        <v>45788</v>
      </c>
      <c r="C1356" s="1" t="s">
        <v>2</v>
      </c>
      <c r="D1356" s="1" t="s">
        <v>36</v>
      </c>
      <c r="E1356" s="1" t="s">
        <v>32</v>
      </c>
      <c r="F1356" s="1" t="s">
        <v>38</v>
      </c>
      <c r="G1356" s="1" t="s">
        <v>39</v>
      </c>
      <c r="H1356" s="1">
        <v>1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f t="shared" si="21"/>
        <v>0</v>
      </c>
      <c r="O1356" s="1">
        <v>0</v>
      </c>
      <c r="P1356" s="1"/>
      <c r="Q1356" s="1">
        <v>63.4</v>
      </c>
    </row>
    <row r="1357" spans="1:17">
      <c r="A1357" s="1" t="s">
        <v>1397</v>
      </c>
      <c r="B1357" s="4">
        <v>45717</v>
      </c>
      <c r="C1357" s="1" t="s">
        <v>2</v>
      </c>
      <c r="D1357" s="1" t="s">
        <v>31</v>
      </c>
      <c r="E1357" s="1" t="s">
        <v>32</v>
      </c>
      <c r="F1357" s="1"/>
      <c r="G1357" s="1" t="s">
        <v>39</v>
      </c>
      <c r="H1357" s="1">
        <v>1</v>
      </c>
      <c r="I1357" s="1">
        <v>1</v>
      </c>
      <c r="J1357" s="1">
        <v>1</v>
      </c>
      <c r="K1357" s="1">
        <v>0</v>
      </c>
      <c r="L1357" s="1">
        <v>0</v>
      </c>
      <c r="M1357" s="1">
        <v>0</v>
      </c>
      <c r="N1357" s="1">
        <f t="shared" si="21"/>
        <v>0</v>
      </c>
      <c r="O1357" s="1">
        <v>0</v>
      </c>
      <c r="P1357" s="1"/>
      <c r="Q1357" s="1">
        <v>84.3</v>
      </c>
    </row>
    <row r="1358" spans="1:17">
      <c r="A1358" s="1" t="s">
        <v>1398</v>
      </c>
      <c r="B1358" s="4">
        <v>45708</v>
      </c>
      <c r="C1358" s="1" t="s">
        <v>2</v>
      </c>
      <c r="D1358" s="1" t="s">
        <v>36</v>
      </c>
      <c r="E1358" s="1" t="s">
        <v>32</v>
      </c>
      <c r="F1358" s="1" t="s">
        <v>38</v>
      </c>
      <c r="G1358" s="1" t="s">
        <v>39</v>
      </c>
      <c r="H1358" s="1">
        <v>1</v>
      </c>
      <c r="I1358" s="1">
        <v>0</v>
      </c>
      <c r="J1358" s="1">
        <v>0</v>
      </c>
      <c r="K1358" s="1">
        <v>0</v>
      </c>
      <c r="L1358" s="1">
        <v>0</v>
      </c>
      <c r="M1358" s="1">
        <v>1</v>
      </c>
      <c r="N1358" s="1">
        <f t="shared" si="21"/>
        <v>1</v>
      </c>
      <c r="O1358" s="1">
        <v>0</v>
      </c>
      <c r="P1358" s="1"/>
      <c r="Q1358" s="1">
        <v>55</v>
      </c>
    </row>
    <row r="1359" spans="1:17">
      <c r="A1359" s="1" t="s">
        <v>1399</v>
      </c>
      <c r="B1359" s="4">
        <v>45786</v>
      </c>
      <c r="C1359" s="1" t="s">
        <v>2</v>
      </c>
      <c r="D1359" s="1" t="s">
        <v>36</v>
      </c>
      <c r="E1359" s="1" t="s">
        <v>37</v>
      </c>
      <c r="F1359" s="1" t="s">
        <v>54</v>
      </c>
      <c r="G1359" s="1" t="s">
        <v>39</v>
      </c>
      <c r="H1359" s="1">
        <v>1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f t="shared" si="21"/>
        <v>0</v>
      </c>
      <c r="O1359" s="1">
        <v>0</v>
      </c>
      <c r="P1359" s="1"/>
      <c r="Q1359" s="1">
        <v>63.6</v>
      </c>
    </row>
    <row r="1360" spans="1:17">
      <c r="A1360" s="1" t="s">
        <v>1400</v>
      </c>
      <c r="B1360" s="4">
        <v>45777</v>
      </c>
      <c r="C1360" s="1" t="s">
        <v>2</v>
      </c>
      <c r="D1360" s="1" t="s">
        <v>36</v>
      </c>
      <c r="E1360" s="1" t="s">
        <v>37</v>
      </c>
      <c r="F1360" s="1" t="s">
        <v>38</v>
      </c>
      <c r="G1360" s="1" t="s">
        <v>39</v>
      </c>
      <c r="H1360" s="1">
        <v>1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f t="shared" si="21"/>
        <v>0</v>
      </c>
      <c r="O1360" s="1">
        <v>0</v>
      </c>
      <c r="P1360" s="1"/>
      <c r="Q1360" s="1">
        <v>55.5</v>
      </c>
    </row>
    <row r="1361" spans="1:17">
      <c r="A1361" s="1" t="s">
        <v>1401</v>
      </c>
      <c r="B1361" s="4">
        <v>45664</v>
      </c>
      <c r="C1361" s="1" t="s">
        <v>2</v>
      </c>
      <c r="D1361" s="1" t="s">
        <v>45</v>
      </c>
      <c r="E1361" s="1" t="s">
        <v>37</v>
      </c>
      <c r="F1361" s="1" t="s">
        <v>54</v>
      </c>
      <c r="G1361" s="1" t="s">
        <v>34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f t="shared" si="21"/>
        <v>0</v>
      </c>
      <c r="O1361" s="1">
        <v>0</v>
      </c>
      <c r="P1361" s="1"/>
      <c r="Q1361" s="1">
        <v>50.5</v>
      </c>
    </row>
    <row r="1362" spans="1:17">
      <c r="A1362" s="1" t="s">
        <v>1402</v>
      </c>
      <c r="B1362" s="4">
        <v>45777</v>
      </c>
      <c r="C1362" s="1" t="s">
        <v>2</v>
      </c>
      <c r="D1362" s="1" t="s">
        <v>31</v>
      </c>
      <c r="E1362" s="1" t="s">
        <v>37</v>
      </c>
      <c r="F1362" s="1" t="s">
        <v>54</v>
      </c>
      <c r="G1362" s="1" t="s">
        <v>34</v>
      </c>
      <c r="H1362" s="1">
        <v>1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f t="shared" si="21"/>
        <v>0</v>
      </c>
      <c r="O1362" s="1">
        <v>0</v>
      </c>
      <c r="P1362" s="1"/>
      <c r="Q1362" s="1">
        <v>45.3</v>
      </c>
    </row>
    <row r="1363" spans="1:17">
      <c r="A1363" s="1" t="s">
        <v>1273</v>
      </c>
      <c r="B1363" s="4">
        <v>45711</v>
      </c>
      <c r="C1363" s="1" t="s">
        <v>2</v>
      </c>
      <c r="D1363" s="1" t="s">
        <v>36</v>
      </c>
      <c r="E1363" s="1" t="s">
        <v>32</v>
      </c>
      <c r="F1363" s="1" t="s">
        <v>54</v>
      </c>
      <c r="G1363" s="1" t="s">
        <v>34</v>
      </c>
      <c r="H1363" s="1">
        <v>1</v>
      </c>
      <c r="I1363" s="1">
        <v>1</v>
      </c>
      <c r="J1363" s="1">
        <v>1</v>
      </c>
      <c r="K1363" s="1">
        <v>0</v>
      </c>
      <c r="L1363" s="1">
        <v>0</v>
      </c>
      <c r="M1363" s="1">
        <v>0</v>
      </c>
      <c r="N1363" s="1">
        <f t="shared" si="21"/>
        <v>0</v>
      </c>
      <c r="O1363" s="1">
        <v>0</v>
      </c>
      <c r="P1363" s="1"/>
      <c r="Q1363" s="1">
        <v>70.599999999999994</v>
      </c>
    </row>
    <row r="1364" spans="1:17">
      <c r="A1364" s="1" t="s">
        <v>1403</v>
      </c>
      <c r="B1364" s="4">
        <v>45728</v>
      </c>
      <c r="C1364" s="1" t="s">
        <v>2</v>
      </c>
      <c r="D1364" s="1" t="s">
        <v>45</v>
      </c>
      <c r="E1364" s="1" t="s">
        <v>37</v>
      </c>
      <c r="F1364" s="1" t="s">
        <v>42</v>
      </c>
      <c r="G1364" s="1" t="s">
        <v>43</v>
      </c>
      <c r="H1364" s="1">
        <v>1</v>
      </c>
      <c r="I1364" s="1">
        <v>1</v>
      </c>
      <c r="J1364" s="1">
        <v>1</v>
      </c>
      <c r="K1364" s="1">
        <v>0</v>
      </c>
      <c r="L1364" s="1">
        <v>0</v>
      </c>
      <c r="M1364" s="1">
        <v>0</v>
      </c>
      <c r="N1364" s="1">
        <f t="shared" si="21"/>
        <v>0</v>
      </c>
      <c r="O1364" s="1">
        <v>0</v>
      </c>
      <c r="P1364" s="1"/>
      <c r="Q1364" s="1">
        <v>88.2</v>
      </c>
    </row>
    <row r="1365" spans="1:17">
      <c r="A1365" s="1" t="s">
        <v>1404</v>
      </c>
      <c r="B1365" s="4">
        <v>45705</v>
      </c>
      <c r="C1365" s="1" t="s">
        <v>2</v>
      </c>
      <c r="D1365" s="1" t="s">
        <v>31</v>
      </c>
      <c r="E1365" s="1" t="s">
        <v>37</v>
      </c>
      <c r="F1365" s="1" t="s">
        <v>38</v>
      </c>
      <c r="G1365" s="1" t="s">
        <v>43</v>
      </c>
      <c r="H1365" s="1">
        <v>1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f t="shared" si="21"/>
        <v>0</v>
      </c>
      <c r="O1365" s="1">
        <v>0</v>
      </c>
      <c r="P1365" s="1"/>
      <c r="Q1365" s="1">
        <v>51.8</v>
      </c>
    </row>
    <row r="1366" spans="1:17">
      <c r="A1366" s="1" t="s">
        <v>1405</v>
      </c>
      <c r="B1366" s="4">
        <v>45804</v>
      </c>
      <c r="C1366" s="1" t="s">
        <v>2</v>
      </c>
      <c r="D1366" s="1" t="s">
        <v>31</v>
      </c>
      <c r="E1366" s="1" t="s">
        <v>32</v>
      </c>
      <c r="F1366" s="1" t="s">
        <v>38</v>
      </c>
      <c r="G1366" s="1" t="s">
        <v>34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f t="shared" si="21"/>
        <v>0</v>
      </c>
      <c r="O1366" s="1">
        <v>0</v>
      </c>
      <c r="P1366" s="1"/>
      <c r="Q1366" s="1">
        <v>87.9</v>
      </c>
    </row>
    <row r="1367" spans="1:17">
      <c r="A1367" s="1" t="s">
        <v>1406</v>
      </c>
      <c r="B1367" s="4">
        <v>45787</v>
      </c>
      <c r="C1367" s="1" t="s">
        <v>2</v>
      </c>
      <c r="D1367" s="1" t="s">
        <v>45</v>
      </c>
      <c r="E1367" s="1" t="s">
        <v>37</v>
      </c>
      <c r="F1367" s="1" t="s">
        <v>54</v>
      </c>
      <c r="G1367" s="1" t="s">
        <v>43</v>
      </c>
      <c r="H1367" s="1">
        <v>1</v>
      </c>
      <c r="I1367" s="1">
        <v>0</v>
      </c>
      <c r="J1367" s="1">
        <v>0</v>
      </c>
      <c r="K1367" s="1">
        <v>0</v>
      </c>
      <c r="L1367" s="1">
        <v>0</v>
      </c>
      <c r="M1367" s="1">
        <v>2</v>
      </c>
      <c r="N1367" s="1">
        <f t="shared" si="21"/>
        <v>1</v>
      </c>
      <c r="O1367" s="1">
        <v>0</v>
      </c>
      <c r="P1367" s="1"/>
      <c r="Q1367" s="1">
        <v>70.5</v>
      </c>
    </row>
    <row r="1368" spans="1:17">
      <c r="A1368" s="1" t="s">
        <v>1407</v>
      </c>
      <c r="B1368" s="4">
        <v>45677</v>
      </c>
      <c r="C1368" s="1" t="s">
        <v>2</v>
      </c>
      <c r="D1368" s="1" t="s">
        <v>31</v>
      </c>
      <c r="E1368" s="1" t="s">
        <v>37</v>
      </c>
      <c r="F1368" s="1" t="s">
        <v>38</v>
      </c>
      <c r="G1368" s="1" t="s">
        <v>34</v>
      </c>
      <c r="H1368" s="1">
        <v>1</v>
      </c>
      <c r="I1368" s="1">
        <v>1</v>
      </c>
      <c r="J1368" s="1">
        <v>0</v>
      </c>
      <c r="K1368" s="1">
        <v>0</v>
      </c>
      <c r="L1368" s="1">
        <v>0</v>
      </c>
      <c r="M1368" s="1">
        <v>2</v>
      </c>
      <c r="N1368" s="1">
        <f t="shared" si="21"/>
        <v>1</v>
      </c>
      <c r="O1368" s="1">
        <v>0</v>
      </c>
      <c r="P1368" s="1"/>
      <c r="Q1368" s="1">
        <v>58.5</v>
      </c>
    </row>
    <row r="1369" spans="1:17">
      <c r="A1369" s="1" t="s">
        <v>1408</v>
      </c>
      <c r="B1369" s="4">
        <v>45676</v>
      </c>
      <c r="C1369" s="1" t="s">
        <v>2</v>
      </c>
      <c r="D1369" s="1" t="s">
        <v>41</v>
      </c>
      <c r="E1369" s="1" t="s">
        <v>37</v>
      </c>
      <c r="F1369" s="1" t="s">
        <v>52</v>
      </c>
      <c r="G1369" s="1" t="s">
        <v>39</v>
      </c>
      <c r="H1369" s="1">
        <v>1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f t="shared" si="21"/>
        <v>0</v>
      </c>
      <c r="O1369" s="1">
        <v>0</v>
      </c>
      <c r="P1369" s="1"/>
      <c r="Q1369" s="1">
        <v>65.599999999999994</v>
      </c>
    </row>
    <row r="1370" spans="1:17">
      <c r="A1370" s="1" t="s">
        <v>1409</v>
      </c>
      <c r="B1370" s="4">
        <v>45723</v>
      </c>
      <c r="C1370" s="1" t="s">
        <v>2</v>
      </c>
      <c r="D1370" s="1" t="s">
        <v>36</v>
      </c>
      <c r="E1370" s="1" t="s">
        <v>32</v>
      </c>
      <c r="F1370" s="1" t="s">
        <v>42</v>
      </c>
      <c r="G1370" s="1" t="s">
        <v>34</v>
      </c>
      <c r="H1370" s="1">
        <v>1</v>
      </c>
      <c r="I1370" s="1">
        <v>1</v>
      </c>
      <c r="J1370" s="1">
        <v>0</v>
      </c>
      <c r="K1370" s="1">
        <v>0</v>
      </c>
      <c r="L1370" s="1">
        <v>0</v>
      </c>
      <c r="M1370" s="1">
        <v>0</v>
      </c>
      <c r="N1370" s="1">
        <f t="shared" si="21"/>
        <v>0</v>
      </c>
      <c r="O1370" s="1">
        <v>0</v>
      </c>
      <c r="P1370" s="1"/>
      <c r="Q1370" s="1">
        <v>62.7</v>
      </c>
    </row>
    <row r="1371" spans="1:17">
      <c r="A1371" s="1" t="s">
        <v>1410</v>
      </c>
      <c r="B1371" s="4">
        <v>45690</v>
      </c>
      <c r="C1371" s="1" t="s">
        <v>2</v>
      </c>
      <c r="D1371" s="1" t="s">
        <v>41</v>
      </c>
      <c r="E1371" s="1" t="s">
        <v>37</v>
      </c>
      <c r="F1371" s="1" t="s">
        <v>38</v>
      </c>
      <c r="G1371" s="1" t="s">
        <v>39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1</v>
      </c>
      <c r="N1371" s="1">
        <f t="shared" si="21"/>
        <v>1</v>
      </c>
      <c r="O1371" s="1">
        <v>0</v>
      </c>
      <c r="P1371" s="1"/>
      <c r="Q1371" s="1">
        <v>50.9</v>
      </c>
    </row>
    <row r="1372" spans="1:17">
      <c r="A1372" s="1" t="s">
        <v>1411</v>
      </c>
      <c r="B1372" s="4">
        <v>45723</v>
      </c>
      <c r="C1372" s="1" t="s">
        <v>2</v>
      </c>
      <c r="D1372" s="1" t="s">
        <v>31</v>
      </c>
      <c r="E1372" s="1" t="s">
        <v>37</v>
      </c>
      <c r="F1372" s="1" t="s">
        <v>38</v>
      </c>
      <c r="G1372" s="1" t="s">
        <v>39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1</v>
      </c>
      <c r="N1372" s="1">
        <f t="shared" si="21"/>
        <v>1</v>
      </c>
      <c r="O1372" s="1">
        <v>0</v>
      </c>
      <c r="P1372" s="1"/>
      <c r="Q1372" s="1">
        <v>60.6</v>
      </c>
    </row>
    <row r="1373" spans="1:17">
      <c r="A1373" s="1" t="s">
        <v>1412</v>
      </c>
      <c r="B1373" s="4">
        <v>45746</v>
      </c>
      <c r="C1373" s="1" t="s">
        <v>2</v>
      </c>
      <c r="D1373" s="1" t="s">
        <v>41</v>
      </c>
      <c r="E1373" s="1" t="s">
        <v>32</v>
      </c>
      <c r="F1373" s="1" t="s">
        <v>38</v>
      </c>
      <c r="G1373" s="1" t="s">
        <v>39</v>
      </c>
      <c r="H1373" s="1">
        <v>1</v>
      </c>
      <c r="I1373" s="1">
        <v>1</v>
      </c>
      <c r="J1373" s="1">
        <v>1</v>
      </c>
      <c r="K1373" s="1">
        <v>0</v>
      </c>
      <c r="L1373" s="1">
        <v>0</v>
      </c>
      <c r="M1373" s="1">
        <v>0</v>
      </c>
      <c r="N1373" s="1">
        <f t="shared" si="21"/>
        <v>0</v>
      </c>
      <c r="O1373" s="1">
        <v>0</v>
      </c>
      <c r="P1373" s="1"/>
      <c r="Q1373" s="1">
        <v>76.599999999999994</v>
      </c>
    </row>
    <row r="1374" spans="1:17">
      <c r="A1374" s="1" t="s">
        <v>1413</v>
      </c>
      <c r="B1374" s="4">
        <v>45782</v>
      </c>
      <c r="C1374" s="1" t="s">
        <v>2</v>
      </c>
      <c r="D1374" s="1" t="s">
        <v>41</v>
      </c>
      <c r="E1374" s="1" t="s">
        <v>32</v>
      </c>
      <c r="F1374" s="1" t="s">
        <v>42</v>
      </c>
      <c r="G1374" s="1" t="s">
        <v>39</v>
      </c>
      <c r="H1374" s="1">
        <v>1</v>
      </c>
      <c r="I1374" s="1">
        <v>1</v>
      </c>
      <c r="J1374" s="1">
        <v>1</v>
      </c>
      <c r="K1374" s="1">
        <v>0</v>
      </c>
      <c r="L1374" s="1">
        <v>0</v>
      </c>
      <c r="M1374" s="1">
        <v>0</v>
      </c>
      <c r="N1374" s="1">
        <f t="shared" si="21"/>
        <v>0</v>
      </c>
      <c r="O1374" s="1">
        <v>0</v>
      </c>
      <c r="P1374" s="1"/>
      <c r="Q1374" s="1">
        <v>54.4</v>
      </c>
    </row>
    <row r="1375" spans="1:17">
      <c r="A1375" s="1" t="s">
        <v>1414</v>
      </c>
      <c r="B1375" s="4">
        <v>45758</v>
      </c>
      <c r="C1375" s="1" t="s">
        <v>2</v>
      </c>
      <c r="D1375" s="1" t="s">
        <v>45</v>
      </c>
      <c r="E1375" s="1" t="s">
        <v>37</v>
      </c>
      <c r="F1375" s="1" t="s">
        <v>54</v>
      </c>
      <c r="G1375" s="1" t="s">
        <v>39</v>
      </c>
      <c r="H1375" s="1">
        <v>1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f t="shared" si="21"/>
        <v>0</v>
      </c>
      <c r="O1375" s="1">
        <v>0</v>
      </c>
      <c r="P1375" s="1"/>
      <c r="Q1375" s="1">
        <v>31.2</v>
      </c>
    </row>
    <row r="1376" spans="1:17">
      <c r="A1376" s="1" t="s">
        <v>1415</v>
      </c>
      <c r="B1376" s="4">
        <v>45741</v>
      </c>
      <c r="C1376" s="1" t="s">
        <v>2</v>
      </c>
      <c r="D1376" s="1" t="s">
        <v>36</v>
      </c>
      <c r="E1376" s="1" t="s">
        <v>32</v>
      </c>
      <c r="F1376" s="1" t="s">
        <v>33</v>
      </c>
      <c r="G1376" s="1" t="s">
        <v>43</v>
      </c>
      <c r="H1376" s="1">
        <v>1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f t="shared" si="21"/>
        <v>0</v>
      </c>
      <c r="O1376" s="1">
        <v>0</v>
      </c>
      <c r="P1376" s="1"/>
      <c r="Q1376" s="1">
        <v>72.400000000000006</v>
      </c>
    </row>
    <row r="1377" spans="1:17">
      <c r="A1377" s="1" t="s">
        <v>1416</v>
      </c>
      <c r="B1377" s="4">
        <v>45740</v>
      </c>
      <c r="C1377" s="1" t="s">
        <v>2</v>
      </c>
      <c r="D1377" s="1" t="s">
        <v>31</v>
      </c>
      <c r="E1377" s="1" t="s">
        <v>37</v>
      </c>
      <c r="F1377" s="1" t="s">
        <v>38</v>
      </c>
      <c r="G1377" s="1" t="s">
        <v>43</v>
      </c>
      <c r="H1377" s="1">
        <v>1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f t="shared" si="21"/>
        <v>0</v>
      </c>
      <c r="O1377" s="1">
        <v>0</v>
      </c>
      <c r="P1377" s="1"/>
      <c r="Q1377" s="1">
        <v>74.5</v>
      </c>
    </row>
    <row r="1378" spans="1:17">
      <c r="A1378" s="1" t="s">
        <v>1417</v>
      </c>
      <c r="B1378" s="4">
        <v>45774</v>
      </c>
      <c r="C1378" s="1" t="s">
        <v>2</v>
      </c>
      <c r="D1378" s="1" t="s">
        <v>41</v>
      </c>
      <c r="E1378" s="1" t="s">
        <v>37</v>
      </c>
      <c r="F1378" s="1" t="s">
        <v>38</v>
      </c>
      <c r="G1378" s="1" t="s">
        <v>34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f t="shared" si="21"/>
        <v>0</v>
      </c>
      <c r="O1378" s="1">
        <v>0</v>
      </c>
      <c r="P1378" s="1"/>
      <c r="Q1378" s="1">
        <v>52.6</v>
      </c>
    </row>
    <row r="1379" spans="1:17">
      <c r="A1379" s="1" t="s">
        <v>1418</v>
      </c>
      <c r="B1379" s="4">
        <v>45682</v>
      </c>
      <c r="C1379" s="1" t="s">
        <v>2</v>
      </c>
      <c r="D1379" s="1" t="s">
        <v>31</v>
      </c>
      <c r="E1379" s="1" t="s">
        <v>32</v>
      </c>
      <c r="F1379" s="1" t="s">
        <v>42</v>
      </c>
      <c r="G1379" s="1" t="s">
        <v>39</v>
      </c>
      <c r="H1379" s="1">
        <v>1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f t="shared" si="21"/>
        <v>0</v>
      </c>
      <c r="O1379" s="1">
        <v>0</v>
      </c>
      <c r="P1379" s="1"/>
      <c r="Q1379" s="1">
        <v>75.400000000000006</v>
      </c>
    </row>
    <row r="1380" spans="1:17">
      <c r="A1380" s="1" t="s">
        <v>1419</v>
      </c>
      <c r="B1380" s="4">
        <v>45705</v>
      </c>
      <c r="C1380" s="1" t="s">
        <v>2</v>
      </c>
      <c r="D1380" s="1" t="s">
        <v>31</v>
      </c>
      <c r="E1380" s="1" t="s">
        <v>47</v>
      </c>
      <c r="F1380" s="1" t="s">
        <v>54</v>
      </c>
      <c r="G1380" s="1" t="s">
        <v>34</v>
      </c>
      <c r="H1380" s="1">
        <v>1</v>
      </c>
      <c r="I1380" s="1">
        <v>1</v>
      </c>
      <c r="J1380" s="1">
        <v>1</v>
      </c>
      <c r="K1380" s="1">
        <v>1</v>
      </c>
      <c r="L1380" s="1">
        <v>751.33</v>
      </c>
      <c r="M1380" s="1">
        <v>0</v>
      </c>
      <c r="N1380" s="1">
        <f t="shared" si="21"/>
        <v>0</v>
      </c>
      <c r="O1380" s="1">
        <v>0</v>
      </c>
      <c r="P1380" s="1">
        <v>9</v>
      </c>
      <c r="Q1380" s="1">
        <v>34</v>
      </c>
    </row>
    <row r="1381" spans="1:17">
      <c r="A1381" s="1" t="s">
        <v>1420</v>
      </c>
      <c r="B1381" s="4">
        <v>45760</v>
      </c>
      <c r="C1381" s="1" t="s">
        <v>2</v>
      </c>
      <c r="D1381" s="1" t="s">
        <v>45</v>
      </c>
      <c r="E1381" s="1" t="s">
        <v>32</v>
      </c>
      <c r="F1381" s="1" t="s">
        <v>38</v>
      </c>
      <c r="G1381" s="1" t="s">
        <v>39</v>
      </c>
      <c r="H1381" s="1">
        <v>1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f t="shared" si="21"/>
        <v>0</v>
      </c>
      <c r="O1381" s="1">
        <v>0</v>
      </c>
      <c r="P1381" s="1"/>
      <c r="Q1381" s="1">
        <v>67.099999999999994</v>
      </c>
    </row>
    <row r="1382" spans="1:17">
      <c r="A1382" s="1" t="s">
        <v>1421</v>
      </c>
      <c r="B1382" s="4">
        <v>45780</v>
      </c>
      <c r="C1382" s="1" t="s">
        <v>2</v>
      </c>
      <c r="D1382" s="1" t="s">
        <v>36</v>
      </c>
      <c r="E1382" s="1" t="s">
        <v>32</v>
      </c>
      <c r="F1382" s="1" t="s">
        <v>42</v>
      </c>
      <c r="G1382" s="1" t="s">
        <v>43</v>
      </c>
      <c r="H1382" s="1">
        <v>1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f t="shared" si="21"/>
        <v>0</v>
      </c>
      <c r="O1382" s="1">
        <v>0</v>
      </c>
      <c r="P1382" s="1"/>
      <c r="Q1382" s="1">
        <v>37.299999999999997</v>
      </c>
    </row>
    <row r="1383" spans="1:17">
      <c r="A1383" s="1" t="s">
        <v>1422</v>
      </c>
      <c r="B1383" s="4">
        <v>45776</v>
      </c>
      <c r="C1383" s="1" t="s">
        <v>2</v>
      </c>
      <c r="D1383" s="1" t="s">
        <v>36</v>
      </c>
      <c r="E1383" s="1" t="s">
        <v>37</v>
      </c>
      <c r="F1383" s="1" t="s">
        <v>33</v>
      </c>
      <c r="G1383" s="1" t="s">
        <v>39</v>
      </c>
      <c r="H1383" s="1">
        <v>1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f t="shared" si="21"/>
        <v>0</v>
      </c>
      <c r="O1383" s="1">
        <v>0</v>
      </c>
      <c r="P1383" s="1"/>
      <c r="Q1383" s="1">
        <v>54.7</v>
      </c>
    </row>
    <row r="1384" spans="1:17">
      <c r="A1384" s="1" t="s">
        <v>1423</v>
      </c>
      <c r="B1384" s="4">
        <v>45780</v>
      </c>
      <c r="C1384" s="1" t="s">
        <v>2</v>
      </c>
      <c r="D1384" s="1" t="s">
        <v>41</v>
      </c>
      <c r="E1384" s="1" t="s">
        <v>32</v>
      </c>
      <c r="F1384" s="1" t="s">
        <v>42</v>
      </c>
      <c r="G1384" s="1" t="s">
        <v>39</v>
      </c>
      <c r="H1384" s="1">
        <v>1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f t="shared" si="21"/>
        <v>0</v>
      </c>
      <c r="O1384" s="1">
        <v>0</v>
      </c>
      <c r="P1384" s="1"/>
      <c r="Q1384" s="1">
        <v>51.8</v>
      </c>
    </row>
    <row r="1385" spans="1:17">
      <c r="A1385" s="1" t="s">
        <v>1424</v>
      </c>
      <c r="B1385" s="4">
        <v>45775</v>
      </c>
      <c r="C1385" s="1" t="s">
        <v>2</v>
      </c>
      <c r="D1385" s="1" t="s">
        <v>36</v>
      </c>
      <c r="E1385" s="1" t="s">
        <v>37</v>
      </c>
      <c r="F1385" s="1" t="s">
        <v>42</v>
      </c>
      <c r="G1385" s="1" t="s">
        <v>39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f t="shared" si="21"/>
        <v>0</v>
      </c>
      <c r="O1385" s="1">
        <v>0</v>
      </c>
      <c r="P1385" s="1"/>
      <c r="Q1385" s="1">
        <v>49.2</v>
      </c>
    </row>
    <row r="1386" spans="1:17">
      <c r="A1386" s="1" t="s">
        <v>1425</v>
      </c>
      <c r="B1386" s="4">
        <v>45678</v>
      </c>
      <c r="C1386" s="1" t="s">
        <v>2</v>
      </c>
      <c r="D1386" s="1" t="s">
        <v>36</v>
      </c>
      <c r="E1386" s="1" t="s">
        <v>37</v>
      </c>
      <c r="F1386" s="1" t="s">
        <v>38</v>
      </c>
      <c r="G1386" s="1" t="s">
        <v>39</v>
      </c>
      <c r="H1386" s="1">
        <v>1</v>
      </c>
      <c r="I1386" s="1">
        <v>0</v>
      </c>
      <c r="J1386" s="1">
        <v>0</v>
      </c>
      <c r="K1386" s="1">
        <v>0</v>
      </c>
      <c r="L1386" s="1">
        <v>0</v>
      </c>
      <c r="M1386" s="1">
        <v>2</v>
      </c>
      <c r="N1386" s="1">
        <f t="shared" si="21"/>
        <v>1</v>
      </c>
      <c r="O1386" s="1">
        <v>0</v>
      </c>
      <c r="P1386" s="1"/>
      <c r="Q1386" s="1">
        <v>58.8</v>
      </c>
    </row>
    <row r="1387" spans="1:17">
      <c r="A1387" s="1" t="s">
        <v>1426</v>
      </c>
      <c r="B1387" s="4">
        <v>45678</v>
      </c>
      <c r="C1387" s="1" t="s">
        <v>2</v>
      </c>
      <c r="D1387" s="1" t="s">
        <v>31</v>
      </c>
      <c r="E1387" s="1" t="s">
        <v>47</v>
      </c>
      <c r="F1387" s="1" t="s">
        <v>42</v>
      </c>
      <c r="G1387" s="1" t="s">
        <v>34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1</v>
      </c>
      <c r="N1387" s="1">
        <f t="shared" si="21"/>
        <v>1</v>
      </c>
      <c r="O1387" s="1">
        <v>0</v>
      </c>
      <c r="P1387" s="1"/>
      <c r="Q1387" s="1">
        <v>59.1</v>
      </c>
    </row>
    <row r="1388" spans="1:17">
      <c r="A1388" s="1" t="s">
        <v>1427</v>
      </c>
      <c r="B1388" s="4">
        <v>45798</v>
      </c>
      <c r="C1388" s="1" t="s">
        <v>2</v>
      </c>
      <c r="D1388" s="1" t="s">
        <v>36</v>
      </c>
      <c r="E1388" s="1" t="s">
        <v>32</v>
      </c>
      <c r="F1388" s="1" t="s">
        <v>42</v>
      </c>
      <c r="G1388" s="1" t="s">
        <v>39</v>
      </c>
      <c r="H1388" s="1">
        <v>1</v>
      </c>
      <c r="I1388" s="1">
        <v>0</v>
      </c>
      <c r="J1388" s="1">
        <v>0</v>
      </c>
      <c r="K1388" s="1">
        <v>0</v>
      </c>
      <c r="L1388" s="1">
        <v>0</v>
      </c>
      <c r="M1388" s="1">
        <v>2</v>
      </c>
      <c r="N1388" s="1">
        <f t="shared" si="21"/>
        <v>1</v>
      </c>
      <c r="O1388" s="1">
        <v>0</v>
      </c>
      <c r="P1388" s="1"/>
      <c r="Q1388" s="1">
        <v>49.6</v>
      </c>
    </row>
    <row r="1389" spans="1:17">
      <c r="A1389" s="1" t="s">
        <v>1428</v>
      </c>
      <c r="B1389" s="4">
        <v>45662</v>
      </c>
      <c r="C1389" s="1" t="s">
        <v>2</v>
      </c>
      <c r="D1389" s="1" t="s">
        <v>31</v>
      </c>
      <c r="E1389" s="1" t="s">
        <v>37</v>
      </c>
      <c r="F1389" s="1" t="s">
        <v>52</v>
      </c>
      <c r="G1389" s="1" t="s">
        <v>39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f t="shared" si="21"/>
        <v>0</v>
      </c>
      <c r="O1389" s="1">
        <v>0</v>
      </c>
      <c r="P1389" s="1"/>
      <c r="Q1389" s="1">
        <v>58.2</v>
      </c>
    </row>
    <row r="1390" spans="1:17">
      <c r="A1390" s="1" t="s">
        <v>1429</v>
      </c>
      <c r="B1390" s="4">
        <v>45722</v>
      </c>
      <c r="C1390" s="1" t="s">
        <v>2</v>
      </c>
      <c r="D1390" s="1" t="s">
        <v>45</v>
      </c>
      <c r="E1390" s="1" t="s">
        <v>32</v>
      </c>
      <c r="F1390" s="1" t="s">
        <v>38</v>
      </c>
      <c r="G1390" s="1" t="s">
        <v>39</v>
      </c>
      <c r="H1390" s="1">
        <v>1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f t="shared" si="21"/>
        <v>0</v>
      </c>
      <c r="O1390" s="1">
        <v>0</v>
      </c>
      <c r="P1390" s="1"/>
      <c r="Q1390" s="1">
        <v>66.8</v>
      </c>
    </row>
    <row r="1391" spans="1:17">
      <c r="A1391" s="1" t="s">
        <v>1430</v>
      </c>
      <c r="B1391" s="4">
        <v>45765</v>
      </c>
      <c r="C1391" s="1" t="s">
        <v>2</v>
      </c>
      <c r="D1391" s="1" t="s">
        <v>31</v>
      </c>
      <c r="E1391" s="1" t="s">
        <v>37</v>
      </c>
      <c r="F1391" s="1" t="s">
        <v>42</v>
      </c>
      <c r="G1391" s="1" t="s">
        <v>39</v>
      </c>
      <c r="H1391" s="1">
        <v>1</v>
      </c>
      <c r="I1391" s="1">
        <v>0</v>
      </c>
      <c r="J1391" s="1">
        <v>0</v>
      </c>
      <c r="K1391" s="1">
        <v>0</v>
      </c>
      <c r="L1391" s="1">
        <v>0</v>
      </c>
      <c r="M1391" s="1">
        <v>3</v>
      </c>
      <c r="N1391" s="1">
        <f t="shared" si="21"/>
        <v>1</v>
      </c>
      <c r="O1391" s="1">
        <v>0</v>
      </c>
      <c r="P1391" s="1"/>
      <c r="Q1391" s="1">
        <v>58.3</v>
      </c>
    </row>
    <row r="1392" spans="1:17">
      <c r="A1392" s="1" t="s">
        <v>1431</v>
      </c>
      <c r="B1392" s="4">
        <v>45762</v>
      </c>
      <c r="C1392" s="1" t="s">
        <v>2</v>
      </c>
      <c r="D1392" s="1" t="s">
        <v>36</v>
      </c>
      <c r="E1392" s="1" t="s">
        <v>37</v>
      </c>
      <c r="F1392" s="1" t="s">
        <v>38</v>
      </c>
      <c r="G1392" s="1" t="s">
        <v>34</v>
      </c>
      <c r="H1392" s="1">
        <v>1</v>
      </c>
      <c r="I1392" s="1">
        <v>1</v>
      </c>
      <c r="J1392" s="1">
        <v>1</v>
      </c>
      <c r="K1392" s="1">
        <v>0</v>
      </c>
      <c r="L1392" s="1">
        <v>0</v>
      </c>
      <c r="M1392" s="1">
        <v>0</v>
      </c>
      <c r="N1392" s="1">
        <f t="shared" si="21"/>
        <v>0</v>
      </c>
      <c r="O1392" s="1">
        <v>0</v>
      </c>
      <c r="P1392" s="1"/>
      <c r="Q1392" s="1">
        <v>38.5</v>
      </c>
    </row>
    <row r="1393" spans="1:17">
      <c r="A1393" s="1" t="s">
        <v>1432</v>
      </c>
      <c r="B1393" s="4">
        <v>45698</v>
      </c>
      <c r="C1393" s="1" t="s">
        <v>2</v>
      </c>
      <c r="D1393" s="1" t="s">
        <v>41</v>
      </c>
      <c r="E1393" s="1" t="s">
        <v>37</v>
      </c>
      <c r="F1393" s="1" t="s">
        <v>42</v>
      </c>
      <c r="G1393" s="1" t="s">
        <v>39</v>
      </c>
      <c r="H1393" s="1">
        <v>1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f t="shared" si="21"/>
        <v>0</v>
      </c>
      <c r="O1393" s="1">
        <v>0</v>
      </c>
      <c r="P1393" s="1"/>
      <c r="Q1393" s="1">
        <v>76.900000000000006</v>
      </c>
    </row>
    <row r="1394" spans="1:17">
      <c r="A1394" s="1" t="s">
        <v>1433</v>
      </c>
      <c r="B1394" s="4">
        <v>45785</v>
      </c>
      <c r="C1394" s="1" t="s">
        <v>2</v>
      </c>
      <c r="D1394" s="1" t="s">
        <v>41</v>
      </c>
      <c r="E1394" s="1" t="s">
        <v>37</v>
      </c>
      <c r="F1394" s="1" t="s">
        <v>38</v>
      </c>
      <c r="G1394" s="1" t="s">
        <v>39</v>
      </c>
      <c r="H1394" s="1">
        <v>1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f t="shared" si="21"/>
        <v>0</v>
      </c>
      <c r="O1394" s="1">
        <v>0</v>
      </c>
      <c r="P1394" s="1"/>
      <c r="Q1394" s="1">
        <v>54</v>
      </c>
    </row>
    <row r="1395" spans="1:17">
      <c r="A1395" s="1" t="s">
        <v>1434</v>
      </c>
      <c r="B1395" s="4">
        <v>45805</v>
      </c>
      <c r="C1395" s="1" t="s">
        <v>2</v>
      </c>
      <c r="D1395" s="1" t="s">
        <v>41</v>
      </c>
      <c r="E1395" s="1" t="s">
        <v>47</v>
      </c>
      <c r="F1395" s="1" t="s">
        <v>38</v>
      </c>
      <c r="G1395" s="1" t="s">
        <v>39</v>
      </c>
      <c r="H1395" s="1">
        <v>1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f t="shared" si="21"/>
        <v>0</v>
      </c>
      <c r="O1395" s="1">
        <v>0</v>
      </c>
      <c r="P1395" s="1"/>
      <c r="Q1395" s="1">
        <v>70.599999999999994</v>
      </c>
    </row>
    <row r="1396" spans="1:17">
      <c r="A1396" s="1" t="s">
        <v>1435</v>
      </c>
      <c r="B1396" s="4">
        <v>45772</v>
      </c>
      <c r="C1396" s="1" t="s">
        <v>2</v>
      </c>
      <c r="D1396" s="1" t="s">
        <v>31</v>
      </c>
      <c r="E1396" s="1" t="s">
        <v>47</v>
      </c>
      <c r="F1396" s="1" t="s">
        <v>52</v>
      </c>
      <c r="G1396" s="1" t="s">
        <v>43</v>
      </c>
      <c r="H1396" s="1">
        <v>1</v>
      </c>
      <c r="I1396" s="1">
        <v>1</v>
      </c>
      <c r="J1396" s="1">
        <v>1</v>
      </c>
      <c r="K1396" s="1">
        <v>0</v>
      </c>
      <c r="L1396" s="1">
        <v>0</v>
      </c>
      <c r="M1396" s="1">
        <v>1</v>
      </c>
      <c r="N1396" s="1">
        <f t="shared" si="21"/>
        <v>1</v>
      </c>
      <c r="O1396" s="1">
        <v>0</v>
      </c>
      <c r="P1396" s="1"/>
      <c r="Q1396" s="1">
        <v>69.400000000000006</v>
      </c>
    </row>
    <row r="1397" spans="1:17">
      <c r="A1397" s="1" t="s">
        <v>1436</v>
      </c>
      <c r="B1397" s="4">
        <v>45699</v>
      </c>
      <c r="C1397" s="1" t="s">
        <v>2</v>
      </c>
      <c r="D1397" s="1" t="s">
        <v>45</v>
      </c>
      <c r="E1397" s="1" t="s">
        <v>37</v>
      </c>
      <c r="F1397" s="1"/>
      <c r="G1397" s="1" t="s">
        <v>43</v>
      </c>
      <c r="H1397" s="1">
        <v>1</v>
      </c>
      <c r="I1397" s="1">
        <v>1</v>
      </c>
      <c r="J1397" s="1">
        <v>1</v>
      </c>
      <c r="K1397" s="1">
        <v>1</v>
      </c>
      <c r="L1397" s="1">
        <v>1009.9</v>
      </c>
      <c r="M1397" s="1">
        <v>0</v>
      </c>
      <c r="N1397" s="1">
        <f t="shared" si="21"/>
        <v>0</v>
      </c>
      <c r="O1397" s="1">
        <v>0</v>
      </c>
      <c r="P1397" s="1">
        <v>6</v>
      </c>
      <c r="Q1397" s="1">
        <v>89.7</v>
      </c>
    </row>
    <row r="1398" spans="1:17">
      <c r="A1398" s="1" t="s">
        <v>1437</v>
      </c>
      <c r="B1398" s="4">
        <v>45761</v>
      </c>
      <c r="C1398" s="1" t="s">
        <v>2</v>
      </c>
      <c r="D1398" s="1" t="s">
        <v>36</v>
      </c>
      <c r="E1398" s="1" t="s">
        <v>37</v>
      </c>
      <c r="F1398" s="1" t="s">
        <v>38</v>
      </c>
      <c r="G1398" s="1" t="s">
        <v>39</v>
      </c>
      <c r="H1398" s="1">
        <v>1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f t="shared" si="21"/>
        <v>0</v>
      </c>
      <c r="O1398" s="1">
        <v>0</v>
      </c>
      <c r="P1398" s="1"/>
      <c r="Q1398" s="1">
        <v>62.4</v>
      </c>
    </row>
    <row r="1399" spans="1:17">
      <c r="A1399" s="1" t="s">
        <v>1438</v>
      </c>
      <c r="B1399" s="4">
        <v>45692</v>
      </c>
      <c r="C1399" s="1" t="s">
        <v>2</v>
      </c>
      <c r="D1399" s="1" t="s">
        <v>36</v>
      </c>
      <c r="E1399" s="1" t="s">
        <v>47</v>
      </c>
      <c r="F1399" s="1" t="s">
        <v>38</v>
      </c>
      <c r="G1399" s="1" t="s">
        <v>43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f t="shared" si="21"/>
        <v>0</v>
      </c>
      <c r="O1399" s="1">
        <v>0</v>
      </c>
      <c r="P1399" s="1"/>
      <c r="Q1399" s="1">
        <v>67.3</v>
      </c>
    </row>
    <row r="1400" spans="1:17">
      <c r="A1400" s="1" t="s">
        <v>1439</v>
      </c>
      <c r="B1400" s="4">
        <v>45738</v>
      </c>
      <c r="C1400" s="1" t="s">
        <v>2</v>
      </c>
      <c r="D1400" s="1" t="s">
        <v>41</v>
      </c>
      <c r="E1400" s="1" t="s">
        <v>37</v>
      </c>
      <c r="F1400" s="1" t="s">
        <v>52</v>
      </c>
      <c r="G1400" s="1" t="s">
        <v>39</v>
      </c>
      <c r="H1400" s="1">
        <v>1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f t="shared" si="21"/>
        <v>0</v>
      </c>
      <c r="O1400" s="1">
        <v>0</v>
      </c>
      <c r="P1400" s="1"/>
      <c r="Q1400" s="1">
        <v>54.9</v>
      </c>
    </row>
    <row r="1401" spans="1:17">
      <c r="A1401" s="1" t="s">
        <v>1440</v>
      </c>
      <c r="B1401" s="4">
        <v>45765</v>
      </c>
      <c r="C1401" s="1" t="s">
        <v>2</v>
      </c>
      <c r="D1401" s="1" t="s">
        <v>41</v>
      </c>
      <c r="E1401" s="1" t="s">
        <v>32</v>
      </c>
      <c r="F1401" s="1" t="s">
        <v>54</v>
      </c>
      <c r="G1401" s="1" t="s">
        <v>39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f t="shared" si="21"/>
        <v>0</v>
      </c>
      <c r="O1401" s="1">
        <v>0</v>
      </c>
      <c r="P1401" s="1"/>
      <c r="Q1401" s="1">
        <v>55.7</v>
      </c>
    </row>
    <row r="1402" spans="1:17">
      <c r="A1402" s="1" t="s">
        <v>1441</v>
      </c>
      <c r="B1402" s="4">
        <v>45793</v>
      </c>
      <c r="C1402" s="1" t="s">
        <v>2</v>
      </c>
      <c r="D1402" s="1" t="s">
        <v>45</v>
      </c>
      <c r="E1402" s="1" t="s">
        <v>37</v>
      </c>
      <c r="F1402" s="1" t="s">
        <v>38</v>
      </c>
      <c r="G1402" s="1" t="s">
        <v>39</v>
      </c>
      <c r="H1402" s="1">
        <v>1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f t="shared" si="21"/>
        <v>0</v>
      </c>
      <c r="O1402" s="1">
        <v>0</v>
      </c>
      <c r="P1402" s="1"/>
      <c r="Q1402" s="1">
        <v>70.3</v>
      </c>
    </row>
    <row r="1403" spans="1:17">
      <c r="A1403" s="1" t="s">
        <v>1441</v>
      </c>
      <c r="B1403" s="4">
        <v>45793</v>
      </c>
      <c r="C1403" s="1" t="s">
        <v>2</v>
      </c>
      <c r="D1403" s="1" t="s">
        <v>45</v>
      </c>
      <c r="E1403" s="1" t="s">
        <v>37</v>
      </c>
      <c r="F1403" s="1" t="s">
        <v>38</v>
      </c>
      <c r="G1403" s="1" t="s">
        <v>39</v>
      </c>
      <c r="H1403" s="1">
        <v>1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f t="shared" si="21"/>
        <v>0</v>
      </c>
      <c r="O1403" s="1">
        <v>0</v>
      </c>
      <c r="P1403" s="1"/>
      <c r="Q1403" s="1">
        <v>70.3</v>
      </c>
    </row>
    <row r="1404" spans="1:17">
      <c r="A1404" s="1" t="s">
        <v>1442</v>
      </c>
      <c r="B1404" s="4">
        <v>45712</v>
      </c>
      <c r="C1404" s="1" t="s">
        <v>2</v>
      </c>
      <c r="D1404" s="1" t="s">
        <v>36</v>
      </c>
      <c r="E1404" s="1" t="s">
        <v>37</v>
      </c>
      <c r="F1404" s="1" t="s">
        <v>38</v>
      </c>
      <c r="G1404" s="1" t="s">
        <v>34</v>
      </c>
      <c r="H1404" s="1">
        <v>1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f t="shared" si="21"/>
        <v>0</v>
      </c>
      <c r="O1404" s="1">
        <v>0</v>
      </c>
      <c r="P1404" s="1"/>
      <c r="Q1404" s="1">
        <v>62</v>
      </c>
    </row>
    <row r="1405" spans="1:17">
      <c r="A1405" s="1" t="s">
        <v>1442</v>
      </c>
      <c r="B1405" s="4">
        <v>45712</v>
      </c>
      <c r="C1405" s="1" t="s">
        <v>2</v>
      </c>
      <c r="D1405" s="1" t="s">
        <v>36</v>
      </c>
      <c r="E1405" s="1" t="s">
        <v>37</v>
      </c>
      <c r="F1405" s="1" t="s">
        <v>38</v>
      </c>
      <c r="G1405" s="1" t="s">
        <v>34</v>
      </c>
      <c r="H1405" s="1">
        <v>1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f t="shared" si="21"/>
        <v>0</v>
      </c>
      <c r="O1405" s="1">
        <v>0</v>
      </c>
      <c r="P1405" s="1"/>
      <c r="Q1405" s="1">
        <v>62</v>
      </c>
    </row>
    <row r="1406" spans="1:17">
      <c r="A1406" s="1" t="s">
        <v>1443</v>
      </c>
      <c r="B1406" s="4">
        <v>45746</v>
      </c>
      <c r="C1406" s="1" t="s">
        <v>2</v>
      </c>
      <c r="D1406" s="1" t="s">
        <v>41</v>
      </c>
      <c r="E1406" s="1" t="s">
        <v>37</v>
      </c>
      <c r="F1406" s="1" t="s">
        <v>38</v>
      </c>
      <c r="G1406" s="1" t="s">
        <v>39</v>
      </c>
      <c r="H1406" s="1">
        <v>1</v>
      </c>
      <c r="I1406" s="1">
        <v>1</v>
      </c>
      <c r="J1406" s="1">
        <v>1</v>
      </c>
      <c r="K1406" s="1">
        <v>0</v>
      </c>
      <c r="L1406" s="1">
        <v>0</v>
      </c>
      <c r="M1406" s="1">
        <v>1</v>
      </c>
      <c r="N1406" s="1">
        <f t="shared" si="21"/>
        <v>1</v>
      </c>
      <c r="O1406" s="1">
        <v>0</v>
      </c>
      <c r="P1406" s="1"/>
      <c r="Q1406" s="1">
        <v>72.5</v>
      </c>
    </row>
    <row r="1407" spans="1:17">
      <c r="A1407" s="1" t="s">
        <v>1443</v>
      </c>
      <c r="B1407" s="4">
        <v>45746</v>
      </c>
      <c r="C1407" s="1" t="s">
        <v>2</v>
      </c>
      <c r="D1407" s="1" t="s">
        <v>41</v>
      </c>
      <c r="E1407" s="1" t="s">
        <v>37</v>
      </c>
      <c r="F1407" s="1" t="s">
        <v>38</v>
      </c>
      <c r="G1407" s="1" t="s">
        <v>39</v>
      </c>
      <c r="H1407" s="1">
        <v>1</v>
      </c>
      <c r="I1407" s="1">
        <v>1</v>
      </c>
      <c r="J1407" s="1">
        <v>1</v>
      </c>
      <c r="K1407" s="1">
        <v>0</v>
      </c>
      <c r="L1407" s="1">
        <v>0</v>
      </c>
      <c r="M1407" s="1">
        <v>1</v>
      </c>
      <c r="N1407" s="1">
        <f t="shared" si="21"/>
        <v>1</v>
      </c>
      <c r="O1407" s="1">
        <v>0</v>
      </c>
      <c r="P1407" s="1"/>
      <c r="Q1407" s="1">
        <v>72.5</v>
      </c>
    </row>
    <row r="1408" spans="1:17">
      <c r="A1408" s="1" t="s">
        <v>1444</v>
      </c>
      <c r="B1408" s="4">
        <v>45800</v>
      </c>
      <c r="C1408" s="1" t="s">
        <v>2</v>
      </c>
      <c r="D1408" s="1" t="s">
        <v>41</v>
      </c>
      <c r="E1408" s="1" t="s">
        <v>37</v>
      </c>
      <c r="F1408" s="1" t="s">
        <v>38</v>
      </c>
      <c r="G1408" s="1" t="s">
        <v>34</v>
      </c>
      <c r="H1408" s="1">
        <v>1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f t="shared" si="21"/>
        <v>0</v>
      </c>
      <c r="O1408" s="1">
        <v>0</v>
      </c>
      <c r="P1408" s="1"/>
      <c r="Q1408" s="1">
        <v>33.6</v>
      </c>
    </row>
    <row r="1409" spans="1:17">
      <c r="A1409" s="1" t="s">
        <v>1444</v>
      </c>
      <c r="B1409" s="4">
        <v>45800</v>
      </c>
      <c r="C1409" s="1" t="s">
        <v>2</v>
      </c>
      <c r="D1409" s="1" t="s">
        <v>41</v>
      </c>
      <c r="E1409" s="1" t="s">
        <v>37</v>
      </c>
      <c r="F1409" s="1" t="s">
        <v>38</v>
      </c>
      <c r="G1409" s="1" t="s">
        <v>34</v>
      </c>
      <c r="H1409" s="1">
        <v>1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f t="shared" si="21"/>
        <v>0</v>
      </c>
      <c r="O1409" s="1">
        <v>0</v>
      </c>
      <c r="P1409" s="1"/>
      <c r="Q1409" s="1">
        <v>33.6</v>
      </c>
    </row>
  </sheetData>
  <autoFilter ref="A1:Q1409" xr:uid="{A0868989-2829-4003-AA8C-F218A14C363E}"/>
  <conditionalFormatting sqref="A1:A1048576">
    <cfRule type="duplicateValues" dxfId="1" priority="2"/>
  </conditionalFormatting>
  <conditionalFormatting sqref="L1:L1048576">
    <cfRule type="aboveAverage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selection activeCell="E15" sqref="E15"/>
    </sheetView>
  </sheetViews>
  <sheetFormatPr defaultRowHeight="14.5"/>
  <cols>
    <col min="1" max="1" width="32.26953125" bestFit="1" customWidth="1"/>
    <col min="2" max="2" width="10" customWidth="1"/>
    <col min="3" max="3" width="9.08984375" customWidth="1"/>
    <col min="6" max="6" width="12.36328125" bestFit="1" customWidth="1"/>
    <col min="7" max="7" width="14.81640625" bestFit="1" customWidth="1"/>
    <col min="9" max="9" width="12.36328125" bestFit="1" customWidth="1"/>
    <col min="10" max="10" width="26.453125" bestFit="1" customWidth="1"/>
    <col min="12" max="12" width="12.36328125" bestFit="1" customWidth="1"/>
    <col min="13" max="13" width="26.81640625" bestFit="1" customWidth="1"/>
  </cols>
  <sheetData>
    <row r="1" spans="1:13">
      <c r="A1" s="13" t="s">
        <v>1458</v>
      </c>
      <c r="B1" s="13"/>
      <c r="C1" s="13"/>
    </row>
    <row r="2" spans="1:13">
      <c r="A2" s="2" t="s">
        <v>0</v>
      </c>
      <c r="B2" s="2" t="s">
        <v>1</v>
      </c>
      <c r="C2" s="2" t="s">
        <v>2</v>
      </c>
      <c r="F2" s="5" t="s">
        <v>1445</v>
      </c>
      <c r="G2" t="s">
        <v>1447</v>
      </c>
      <c r="I2" s="5" t="s">
        <v>1445</v>
      </c>
      <c r="J2" t="s">
        <v>1451</v>
      </c>
      <c r="L2" s="5" t="s">
        <v>1445</v>
      </c>
      <c r="M2" t="s">
        <v>1455</v>
      </c>
    </row>
    <row r="3" spans="1:13">
      <c r="A3" s="12" t="s">
        <v>3</v>
      </c>
      <c r="B3" s="1">
        <v>693</v>
      </c>
      <c r="C3" s="1">
        <v>715</v>
      </c>
      <c r="F3" s="6" t="s">
        <v>1</v>
      </c>
      <c r="G3">
        <v>693</v>
      </c>
      <c r="I3" s="6" t="s">
        <v>1</v>
      </c>
      <c r="J3" s="7">
        <v>3.1746031746031744E-2</v>
      </c>
      <c r="L3" s="6" t="s">
        <v>1</v>
      </c>
      <c r="M3" s="7">
        <v>0.1471861471861472</v>
      </c>
    </row>
    <row r="4" spans="1:13">
      <c r="A4" s="12" t="s">
        <v>4</v>
      </c>
      <c r="B4" s="10">
        <v>0.63636363636363635</v>
      </c>
      <c r="C4" s="10">
        <v>0.72587412587412592</v>
      </c>
      <c r="F4" s="6" t="s">
        <v>2</v>
      </c>
      <c r="G4">
        <v>715</v>
      </c>
      <c r="I4" s="6" t="s">
        <v>2</v>
      </c>
      <c r="J4" s="7">
        <v>6.9930069930069935E-2</v>
      </c>
      <c r="L4" s="6" t="s">
        <v>2</v>
      </c>
      <c r="M4" s="7">
        <v>0.24755244755244754</v>
      </c>
    </row>
    <row r="5" spans="1:13">
      <c r="A5" s="12" t="s">
        <v>5</v>
      </c>
      <c r="B5" s="10">
        <v>0.25108225108225107</v>
      </c>
      <c r="C5" s="10">
        <v>0.29090909090909089</v>
      </c>
      <c r="F5" s="6" t="s">
        <v>1446</v>
      </c>
      <c r="G5">
        <v>1408</v>
      </c>
      <c r="I5" s="6" t="s">
        <v>1446</v>
      </c>
      <c r="J5" s="7">
        <v>5.113636363636364E-2</v>
      </c>
      <c r="L5" s="6" t="s">
        <v>1446</v>
      </c>
      <c r="M5" s="7">
        <v>0.19815340909090909</v>
      </c>
    </row>
    <row r="6" spans="1:13">
      <c r="A6" s="12" t="s">
        <v>6</v>
      </c>
      <c r="B6" s="10">
        <v>0.15584415584415584</v>
      </c>
      <c r="C6" s="10">
        <v>0.21258741258741259</v>
      </c>
    </row>
    <row r="7" spans="1:13">
      <c r="A7" s="12" t="s">
        <v>7</v>
      </c>
      <c r="B7" s="10">
        <v>3.1746031746031744E-2</v>
      </c>
      <c r="C7" s="10">
        <v>6.9930069930069935E-2</v>
      </c>
    </row>
    <row r="8" spans="1:13">
      <c r="A8" s="12" t="s">
        <v>8</v>
      </c>
      <c r="B8" s="11">
        <v>51.74932178932179</v>
      </c>
      <c r="C8" s="11">
        <v>53.875118881118901</v>
      </c>
      <c r="F8" s="5" t="s">
        <v>1445</v>
      </c>
      <c r="G8" t="s">
        <v>1448</v>
      </c>
      <c r="I8" s="5" t="s">
        <v>1445</v>
      </c>
      <c r="J8" t="s">
        <v>1452</v>
      </c>
      <c r="L8" s="5" t="s">
        <v>1445</v>
      </c>
      <c r="M8" t="s">
        <v>1456</v>
      </c>
    </row>
    <row r="9" spans="1:13">
      <c r="A9" s="12" t="s">
        <v>9</v>
      </c>
      <c r="B9" s="1">
        <v>1630.1036363636363</v>
      </c>
      <c r="C9" s="1">
        <v>770.41419999999994</v>
      </c>
      <c r="F9" s="6" t="s">
        <v>1</v>
      </c>
      <c r="G9" s="7">
        <v>0.63636363636363635</v>
      </c>
      <c r="I9" s="6" t="s">
        <v>1</v>
      </c>
      <c r="J9" s="8">
        <v>51.74932178932179</v>
      </c>
      <c r="L9" s="6" t="s">
        <v>1</v>
      </c>
      <c r="M9">
        <v>57.026200873362491</v>
      </c>
    </row>
    <row r="10" spans="1:13">
      <c r="A10" s="14" t="s">
        <v>10</v>
      </c>
      <c r="B10" s="10">
        <v>0</v>
      </c>
      <c r="C10" s="10">
        <v>4.1958041958041958E-3</v>
      </c>
      <c r="F10" s="6" t="s">
        <v>2</v>
      </c>
      <c r="G10" s="7">
        <v>0.72587412587412592</v>
      </c>
      <c r="I10" s="6" t="s">
        <v>2</v>
      </c>
      <c r="J10" s="8">
        <v>53.875118881118873</v>
      </c>
      <c r="L10" s="6" t="s">
        <v>2</v>
      </c>
      <c r="M10">
        <v>62.931966053748233</v>
      </c>
    </row>
    <row r="11" spans="1:13">
      <c r="A11" s="14" t="s">
        <v>11</v>
      </c>
      <c r="B11" s="10">
        <v>0.1471861471861472</v>
      </c>
      <c r="C11" s="10">
        <v>0.24755244755244754</v>
      </c>
      <c r="F11" s="6" t="s">
        <v>1446</v>
      </c>
      <c r="G11" s="7">
        <v>0.68181818181818177</v>
      </c>
      <c r="I11" s="6" t="s">
        <v>1446</v>
      </c>
      <c r="J11" s="8">
        <v>52.828828124999994</v>
      </c>
      <c r="L11" s="6" t="s">
        <v>1446</v>
      </c>
      <c r="M11">
        <v>60.02144906743186</v>
      </c>
    </row>
    <row r="12" spans="1:13">
      <c r="A12" s="14" t="s">
        <v>12</v>
      </c>
      <c r="B12" s="1">
        <v>57.026200873362491</v>
      </c>
      <c r="C12" s="1">
        <v>62.931966053748233</v>
      </c>
    </row>
    <row r="13" spans="1:13">
      <c r="A13" s="14" t="s">
        <v>13</v>
      </c>
      <c r="B13" s="1">
        <v>8.8636363636363633</v>
      </c>
      <c r="C13" s="1">
        <v>6.4</v>
      </c>
      <c r="I13" s="5" t="s">
        <v>24</v>
      </c>
      <c r="J13" s="6">
        <v>1</v>
      </c>
    </row>
    <row r="14" spans="1:13">
      <c r="F14" s="5" t="s">
        <v>1445</v>
      </c>
      <c r="G14" t="s">
        <v>1449</v>
      </c>
    </row>
    <row r="15" spans="1:13">
      <c r="F15" s="6" t="s">
        <v>1</v>
      </c>
      <c r="G15" s="7">
        <v>0.25108225108225107</v>
      </c>
      <c r="I15" s="5" t="s">
        <v>1445</v>
      </c>
      <c r="J15" t="s">
        <v>1452</v>
      </c>
      <c r="L15" s="5" t="s">
        <v>1445</v>
      </c>
      <c r="M15" t="s">
        <v>1457</v>
      </c>
    </row>
    <row r="16" spans="1:13">
      <c r="F16" s="6" t="s">
        <v>2</v>
      </c>
      <c r="G16" s="7">
        <v>0.29090909090909089</v>
      </c>
      <c r="I16" s="6" t="s">
        <v>1</v>
      </c>
      <c r="J16">
        <v>1630.1036363636363</v>
      </c>
      <c r="L16" s="6" t="s">
        <v>1</v>
      </c>
      <c r="M16">
        <v>8.8636363636363633</v>
      </c>
    </row>
    <row r="17" spans="6:13">
      <c r="F17" s="6" t="s">
        <v>1446</v>
      </c>
      <c r="G17" s="7">
        <v>0.27130681818181818</v>
      </c>
      <c r="I17" s="6" t="s">
        <v>2</v>
      </c>
      <c r="J17">
        <v>770.41419999999994</v>
      </c>
      <c r="L17" s="6" t="s">
        <v>2</v>
      </c>
      <c r="M17">
        <v>6.4</v>
      </c>
    </row>
    <row r="18" spans="6:13">
      <c r="I18" s="6" t="s">
        <v>1446</v>
      </c>
      <c r="J18">
        <v>1033.0970833333331</v>
      </c>
      <c r="L18" s="6" t="s">
        <v>1446</v>
      </c>
      <c r="M18">
        <v>7.1527777777777777</v>
      </c>
    </row>
    <row r="20" spans="6:13">
      <c r="F20" s="5" t="s">
        <v>1445</v>
      </c>
      <c r="G20" t="s">
        <v>1450</v>
      </c>
    </row>
    <row r="21" spans="6:13">
      <c r="F21" s="6" t="s">
        <v>1</v>
      </c>
      <c r="G21" s="7">
        <v>0.15584415584415584</v>
      </c>
      <c r="I21" s="5" t="s">
        <v>1445</v>
      </c>
      <c r="J21" t="s">
        <v>1453</v>
      </c>
    </row>
    <row r="22" spans="6:13">
      <c r="F22" s="6" t="s">
        <v>2</v>
      </c>
      <c r="G22" s="7">
        <v>0.21258741258741259</v>
      </c>
      <c r="I22" s="6" t="s">
        <v>1</v>
      </c>
      <c r="J22" s="7">
        <v>0</v>
      </c>
    </row>
    <row r="23" spans="6:13">
      <c r="F23" s="6" t="s">
        <v>1446</v>
      </c>
      <c r="G23" s="7">
        <v>0.18465909090909091</v>
      </c>
      <c r="I23" s="6" t="s">
        <v>2</v>
      </c>
      <c r="J23" s="7">
        <v>4.1958041958041958E-3</v>
      </c>
    </row>
    <row r="24" spans="6:13">
      <c r="I24" s="6" t="s">
        <v>1446</v>
      </c>
      <c r="J24" s="7">
        <v>2.130681818181818E-3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Overall_Summary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Aayushi</dc:creator>
  <cp:lastModifiedBy>Aayushi Gautam</cp:lastModifiedBy>
  <dcterms:created xsi:type="dcterms:W3CDTF">2015-06-05T18:17:20Z</dcterms:created>
  <dcterms:modified xsi:type="dcterms:W3CDTF">2026-06-27T20:01:18Z</dcterms:modified>
</cp:coreProperties>
</file>